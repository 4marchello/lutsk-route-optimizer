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ПРМ-11\імпорт для графу луцькі кликуни\"/>
    </mc:Choice>
  </mc:AlternateContent>
  <xr:revisionPtr revIDLastSave="0" documentId="13_ncr:1_{28F97375-FB59-47B8-83EE-19A558CEE30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stance matrix" sheetId="1" r:id="rId1"/>
    <sheet name="Laplacian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3" i="1" l="1" a="1"/>
  <c r="AA23" i="1"/>
  <c r="Z22" i="1" a="1"/>
  <c r="Y23" i="1"/>
  <c r="Y21" i="1" a="1"/>
  <c r="X23" i="1"/>
  <c r="X21" i="1"/>
  <c r="X20" i="1" a="1"/>
  <c r="X22" i="1" s="1"/>
  <c r="X20" i="1"/>
  <c r="W22" i="1"/>
  <c r="W20" i="1"/>
  <c r="W19" i="1" a="1"/>
  <c r="W23" i="1" s="1"/>
  <c r="W19" i="1"/>
  <c r="V18" i="1" a="1"/>
  <c r="U17" i="1" a="1"/>
  <c r="T23" i="1"/>
  <c r="T21" i="1"/>
  <c r="T19" i="1"/>
  <c r="T17" i="1"/>
  <c r="T16" i="1" a="1"/>
  <c r="T22" i="1" s="1"/>
  <c r="T16" i="1"/>
  <c r="S22" i="1"/>
  <c r="S20" i="1"/>
  <c r="S18" i="1"/>
  <c r="S16" i="1"/>
  <c r="S15" i="1" a="1"/>
  <c r="S23" i="1" s="1"/>
  <c r="S15" i="1"/>
  <c r="R20" i="1"/>
  <c r="R16" i="1"/>
  <c r="R14" i="1" a="1"/>
  <c r="Q23" i="1"/>
  <c r="Q19" i="1"/>
  <c r="Q15" i="1"/>
  <c r="Q13" i="1" a="1"/>
  <c r="P23" i="1"/>
  <c r="P21" i="1"/>
  <c r="P19" i="1"/>
  <c r="P17" i="1"/>
  <c r="P15" i="1"/>
  <c r="P13" i="1"/>
  <c r="P12" i="1" a="1"/>
  <c r="P22" i="1" s="1"/>
  <c r="P12" i="1"/>
  <c r="O22" i="1"/>
  <c r="O20" i="1"/>
  <c r="O18" i="1"/>
  <c r="O16" i="1"/>
  <c r="O14" i="1"/>
  <c r="O12" i="1"/>
  <c r="O11" i="1" a="1"/>
  <c r="O23" i="1" s="1"/>
  <c r="O11" i="1"/>
  <c r="N10" i="1" a="1"/>
  <c r="M9" i="1" a="1"/>
  <c r="L23" i="1"/>
  <c r="L21" i="1"/>
  <c r="L19" i="1"/>
  <c r="L17" i="1"/>
  <c r="L15" i="1"/>
  <c r="L13" i="1"/>
  <c r="L11" i="1"/>
  <c r="L9" i="1"/>
  <c r="L8" i="1" a="1"/>
  <c r="L22" i="1" s="1"/>
  <c r="L8" i="1"/>
  <c r="K22" i="1"/>
  <c r="K20" i="1"/>
  <c r="K18" i="1"/>
  <c r="K16" i="1"/>
  <c r="K14" i="1"/>
  <c r="K12" i="1"/>
  <c r="K10" i="1"/>
  <c r="K8" i="1"/>
  <c r="K7" i="1" a="1"/>
  <c r="K23" i="1" s="1"/>
  <c r="K7" i="1"/>
  <c r="J20" i="1"/>
  <c r="J16" i="1"/>
  <c r="J12" i="1"/>
  <c r="J8" i="1"/>
  <c r="J6" i="1" a="1"/>
  <c r="J6" i="1"/>
  <c r="I22" i="1"/>
  <c r="I20" i="1"/>
  <c r="I18" i="1"/>
  <c r="I16" i="1"/>
  <c r="I14" i="1"/>
  <c r="I12" i="1"/>
  <c r="I10" i="1"/>
  <c r="I8" i="1"/>
  <c r="I6" i="1"/>
  <c r="I5" i="1" a="1"/>
  <c r="I23" i="1" s="1"/>
  <c r="I5" i="1"/>
  <c r="H4" i="1" a="1"/>
  <c r="H23" i="1" s="1"/>
  <c r="H6" i="1" l="1"/>
  <c r="H8" i="1"/>
  <c r="H10" i="1"/>
  <c r="H12" i="1"/>
  <c r="H14" i="1"/>
  <c r="H16" i="1"/>
  <c r="H18" i="1"/>
  <c r="H20" i="1"/>
  <c r="H22" i="1"/>
  <c r="M22" i="1"/>
  <c r="M20" i="1"/>
  <c r="M18" i="1"/>
  <c r="M16" i="1"/>
  <c r="M14" i="1"/>
  <c r="M12" i="1"/>
  <c r="M10" i="1"/>
  <c r="M9" i="1"/>
  <c r="M13" i="1"/>
  <c r="M17" i="1"/>
  <c r="M21" i="1"/>
  <c r="N23" i="1"/>
  <c r="N21" i="1"/>
  <c r="N19" i="1"/>
  <c r="N17" i="1"/>
  <c r="N15" i="1"/>
  <c r="N13" i="1"/>
  <c r="N11" i="1"/>
  <c r="N10" i="1"/>
  <c r="N14" i="1"/>
  <c r="N18" i="1"/>
  <c r="N22" i="1"/>
  <c r="U22" i="1"/>
  <c r="U20" i="1"/>
  <c r="U18" i="1"/>
  <c r="U17" i="1"/>
  <c r="U21" i="1"/>
  <c r="V23" i="1"/>
  <c r="V21" i="1"/>
  <c r="V19" i="1"/>
  <c r="V18" i="1"/>
  <c r="V22" i="1"/>
  <c r="H4" i="1"/>
  <c r="H5" i="1"/>
  <c r="H7" i="1"/>
  <c r="H9" i="1"/>
  <c r="H11" i="1"/>
  <c r="H13" i="1"/>
  <c r="H15" i="1"/>
  <c r="H17" i="1"/>
  <c r="H19" i="1"/>
  <c r="H21" i="1"/>
  <c r="I7" i="1"/>
  <c r="I9" i="1"/>
  <c r="I11" i="1"/>
  <c r="I13" i="1"/>
  <c r="I15" i="1"/>
  <c r="I17" i="1"/>
  <c r="I19" i="1"/>
  <c r="I21" i="1"/>
  <c r="J23" i="1"/>
  <c r="J21" i="1"/>
  <c r="J19" i="1"/>
  <c r="J17" i="1"/>
  <c r="J15" i="1"/>
  <c r="J13" i="1"/>
  <c r="J11" i="1"/>
  <c r="J9" i="1"/>
  <c r="J7" i="1"/>
  <c r="J10" i="1"/>
  <c r="J14" i="1"/>
  <c r="J18" i="1"/>
  <c r="J22" i="1"/>
  <c r="M11" i="1"/>
  <c r="M15" i="1"/>
  <c r="M19" i="1"/>
  <c r="M23" i="1"/>
  <c r="N12" i="1"/>
  <c r="N16" i="1"/>
  <c r="N20" i="1"/>
  <c r="Q22" i="1"/>
  <c r="Q20" i="1"/>
  <c r="Q18" i="1"/>
  <c r="Q16" i="1"/>
  <c r="Q14" i="1"/>
  <c r="Q13" i="1"/>
  <c r="Q17" i="1"/>
  <c r="Q21" i="1"/>
  <c r="R23" i="1"/>
  <c r="R21" i="1"/>
  <c r="R19" i="1"/>
  <c r="R17" i="1"/>
  <c r="R15" i="1"/>
  <c r="R14" i="1"/>
  <c r="R18" i="1"/>
  <c r="R22" i="1"/>
  <c r="U19" i="1"/>
  <c r="U23" i="1"/>
  <c r="V20" i="1"/>
  <c r="Y22" i="1"/>
  <c r="Y21" i="1"/>
  <c r="Z23" i="1"/>
  <c r="Z22" i="1"/>
  <c r="K9" i="1"/>
  <c r="K11" i="1"/>
  <c r="K13" i="1"/>
  <c r="K15" i="1"/>
  <c r="K17" i="1"/>
  <c r="K19" i="1"/>
  <c r="K21" i="1"/>
  <c r="L10" i="1"/>
  <c r="L12" i="1"/>
  <c r="L14" i="1"/>
  <c r="L16" i="1"/>
  <c r="L18" i="1"/>
  <c r="L20" i="1"/>
  <c r="O13" i="1"/>
  <c r="O15" i="1"/>
  <c r="O17" i="1"/>
  <c r="O19" i="1"/>
  <c r="O21" i="1"/>
  <c r="P14" i="1"/>
  <c r="P16" i="1"/>
  <c r="P18" i="1"/>
  <c r="P20" i="1"/>
  <c r="S17" i="1"/>
  <c r="S19" i="1"/>
  <c r="S21" i="1"/>
  <c r="T18" i="1"/>
  <c r="T20" i="1"/>
  <c r="W21" i="1"/>
</calcChain>
</file>

<file path=xl/sharedStrings.xml><?xml version="1.0" encoding="utf-8"?>
<sst xmlns="http://schemas.openxmlformats.org/spreadsheetml/2006/main" count="202" uniqueCount="74">
  <si>
    <t>Назва</t>
  </si>
  <si>
    <t>Номер</t>
  </si>
  <si>
    <t>Координати</t>
  </si>
  <si>
    <t>Радик Задоволений/Radyk Zadovolenyi</t>
  </si>
  <si>
    <t>Зустрічайко/Zustrichayko</t>
  </si>
  <si>
    <t>Гнат Неопалимий/Hnat (from the Latin word ignis - "fire")</t>
  </si>
  <si>
    <t>Василь «Соловейко»/Vasyl «Soloveiko» («the Nightingale»)</t>
  </si>
  <si>
    <t>Франьо (від імені Франциска Ассізького, який знав мову тварин)/Franyo (from Francis of Assisi who knew animal language)</t>
  </si>
  <si>
    <t>Хвацькó і Прудкó/Khvatskó and Prudkó (as “skillful and quick”)</t>
  </si>
  <si>
    <t>Книжко*/Knyzhko*</t>
  </si>
  <si>
    <t>Семен Ґуст/Semen Gust</t>
  </si>
  <si>
    <t>Зірко/Zirko</t>
  </si>
  <si>
    <t>Трилінко/Trylinko</t>
  </si>
  <si>
    <t>Музи́ка/Muzyka</t>
  </si>
  <si>
    <t>Вертун/Vertun</t>
  </si>
  <si>
    <t>Вартко і Вартко/Vartko and Vartko</t>
  </si>
  <si>
    <t>Кликун Андрій</t>
  </si>
  <si>
    <t>Стефан (від гр. “корона”)/Stephan (from Greek, meaning “the crown”)</t>
  </si>
  <si>
    <t>Кавус/Kavus</t>
  </si>
  <si>
    <t>Ключник/Kliuchnyk</t>
  </si>
  <si>
    <t>Провідник/Providnyk</t>
  </si>
  <si>
    <t>Братко* і Братко**/Bratko* and Bratko**</t>
  </si>
  <si>
    <t>Вогняр/Vogniar</t>
  </si>
  <si>
    <t>Микитович/Mykytovych</t>
  </si>
  <si>
    <t>A1</t>
  </si>
  <si>
    <t>B2</t>
  </si>
  <si>
    <t>C3</t>
  </si>
  <si>
    <t>D4</t>
  </si>
  <si>
    <t>E5</t>
  </si>
  <si>
    <t>F6</t>
  </si>
  <si>
    <t>G7</t>
  </si>
  <si>
    <t>H8</t>
  </si>
  <si>
    <t>I9</t>
  </si>
  <si>
    <t>J10</t>
  </si>
  <si>
    <t>K11</t>
  </si>
  <si>
    <t>L12</t>
  </si>
  <si>
    <t>M13</t>
  </si>
  <si>
    <t>N14</t>
  </si>
  <si>
    <t>O15</t>
  </si>
  <si>
    <t>P16</t>
  </si>
  <si>
    <t>Q17</t>
  </si>
  <si>
    <t>R18</t>
  </si>
  <si>
    <t>S19</t>
  </si>
  <si>
    <t>T20</t>
  </si>
  <si>
    <t>U21</t>
  </si>
  <si>
    <t>(50.7568755, 25.3796196)</t>
  </si>
  <si>
    <t>(50.7579614, 25.3503513)</t>
  </si>
  <si>
    <t>(50.7525315, 25.3438282)</t>
  </si>
  <si>
    <t>(50.7447112, 25.3409958)</t>
  </si>
  <si>
    <t>(50.7404204, 25.3379917)</t>
  </si>
  <si>
    <t>(50.7387094, 25.3312540)</t>
  </si>
  <si>
    <t>(50.7468565, 25.3311253)</t>
  </si>
  <si>
    <t>(50.7529387, 25.3292799)</t>
  </si>
  <si>
    <t>(50.7466393, 25.3263724)</t>
  </si>
  <si>
    <t>(50.7458518, 25.3243232)</t>
  </si>
  <si>
    <t>(50.7466732, 25.3236151)</t>
  </si>
  <si>
    <t>(50.7391983, 25.3234220)</t>
  </si>
  <si>
    <t>(50.7388197, 25.3222471)</t>
  </si>
  <si>
    <t>(50.7387468, 25.3224885)</t>
  </si>
  <si>
    <t>(50.7385736, 25.3219065)</t>
  </si>
  <si>
    <t>(50.7466732, 25.3219306)</t>
  </si>
  <si>
    <t>(50.7451729, 25.3197098)</t>
  </si>
  <si>
    <t>(50.7427628, 25.3197527)</t>
  </si>
  <si>
    <t>(50.7408346, 25.3176820)</t>
  </si>
  <si>
    <t>(50.7382273, 25.3177357)</t>
  </si>
  <si>
    <t>(50.7374329, 25.3141630)</t>
  </si>
  <si>
    <t>In this table, we calculate the distance from vertex to vertex using coordinates and data from the graph</t>
  </si>
  <si>
    <r>
      <rPr>
        <u/>
        <sz val="10"/>
        <color rgb="FF1155CC"/>
        <rFont val="Arial"/>
      </rPr>
      <t>https://www.google.com/maps/d/u/2/edit?mid=1XngtlqortmRWrjOUcsATcssx9aJRnFQ&amp;usp=sharing</t>
    </r>
    <r>
      <rPr>
        <sz val="10"/>
        <color rgb="FF000000"/>
        <rFont val="Arial"/>
        <scheme val="minor"/>
      </rPr>
      <t xml:space="preserve"> - graph for table</t>
    </r>
  </si>
  <si>
    <t>This table has been given a format that replaces zeros with "-"</t>
  </si>
  <si>
    <t>The green gradient indicates the distance (which may be useful for further calculations)</t>
  </si>
  <si>
    <t>A function has been added under the diagonal that automatically transposes numbers (=TRANSPOSE()), those that will be above the diagonal, so you CANNOT write any numbers under the diagonal, as this will cause the function to fail</t>
  </si>
  <si>
    <t xml:space="preserve"> </t>
  </si>
  <si>
    <t>In meters(m)</t>
  </si>
  <si>
    <t>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</si>
</sst>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\-0;&quot;-&quot;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12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3" borderId="4" xfId="0" applyFont="1" applyFill="1" applyBorder="1" applyAlignment="1"/>
    <xf numFmtId="0" fontId="1" fillId="3" borderId="4" xfId="0" applyFont="1" applyFill="1" applyBorder="1"/>
    <xf numFmtId="0" fontId="1" fillId="2" borderId="4" xfId="0" applyFont="1" applyFill="1" applyBorder="1" applyAlignment="1"/>
    <xf numFmtId="0" fontId="1" fillId="4" borderId="4" xfId="0" applyFont="1" applyFill="1" applyBorder="1" applyAlignment="1"/>
    <xf numFmtId="0" fontId="1" fillId="3" borderId="8" xfId="0" applyFont="1" applyFill="1" applyBorder="1" applyAlignment="1"/>
    <xf numFmtId="164" fontId="1" fillId="5" borderId="4" xfId="0" applyNumberFormat="1" applyFont="1" applyFill="1" applyBorder="1" applyAlignment="1"/>
    <xf numFmtId="164" fontId="1" fillId="0" borderId="4" xfId="0" applyNumberFormat="1" applyFont="1" applyBorder="1" applyAlignment="1"/>
    <xf numFmtId="164" fontId="1" fillId="0" borderId="4" xfId="0" applyNumberFormat="1" applyFont="1" applyBorder="1"/>
    <xf numFmtId="164" fontId="1" fillId="0" borderId="0" xfId="0" applyNumberFormat="1" applyFont="1" applyAlignment="1"/>
    <xf numFmtId="164" fontId="1" fillId="0" borderId="0" xfId="0" applyNumberFormat="1" applyFont="1"/>
    <xf numFmtId="0" fontId="1" fillId="0" borderId="0" xfId="0" applyFont="1" applyAlignment="1"/>
    <xf numFmtId="0" fontId="1" fillId="0" borderId="0" xfId="0" applyFont="1" applyAlignment="1"/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/>
    <xf numFmtId="0" fontId="1" fillId="2" borderId="5" xfId="0" applyFont="1" applyFill="1" applyBorder="1" applyAlignment="1"/>
    <xf numFmtId="0" fontId="1" fillId="3" borderId="13" xfId="0" applyFont="1" applyFill="1" applyBorder="1" applyAlignment="1"/>
    <xf numFmtId="0" fontId="1" fillId="0" borderId="0" xfId="0" applyFont="1" applyFill="1" applyAlignment="1"/>
    <xf numFmtId="0" fontId="0" fillId="9" borderId="13" xfId="0" applyFont="1" applyFill="1" applyBorder="1" applyAlignment="1"/>
    <xf numFmtId="0" fontId="0" fillId="10" borderId="13" xfId="0" applyFont="1" applyFill="1" applyBorder="1" applyAlignment="1"/>
    <xf numFmtId="0" fontId="3" fillId="7" borderId="8" xfId="0" applyFont="1" applyFill="1" applyBorder="1" applyAlignment="1"/>
    <xf numFmtId="0" fontId="2" fillId="0" borderId="10" xfId="0" applyFont="1" applyBorder="1"/>
    <xf numFmtId="0" fontId="2" fillId="0" borderId="9" xfId="0" applyFont="1" applyBorder="1"/>
    <xf numFmtId="0" fontId="1" fillId="6" borderId="8" xfId="0" applyFont="1" applyFill="1" applyBorder="1" applyAlignment="1"/>
    <xf numFmtId="0" fontId="1" fillId="5" borderId="8" xfId="0" applyFont="1" applyFill="1" applyBorder="1" applyAlignment="1"/>
    <xf numFmtId="0" fontId="1" fillId="8" borderId="2" xfId="0" applyFont="1" applyFill="1" applyBorder="1" applyAlignment="1">
      <alignment vertical="top" wrapText="1"/>
    </xf>
    <xf numFmtId="0" fontId="2" fillId="0" borderId="11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2" xfId="0" applyFont="1" applyBorder="1"/>
    <xf numFmtId="0" fontId="2" fillId="0" borderId="7" xfId="0" applyFont="1" applyBorder="1"/>
    <xf numFmtId="0" fontId="1" fillId="3" borderId="8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/>
    </xf>
    <xf numFmtId="0" fontId="0" fillId="11" borderId="13" xfId="0" applyFont="1" applyFill="1" applyBorder="1" applyAlignment="1"/>
  </cellXfs>
  <cellStyles count="1">
    <cellStyle name="Звичайний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main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d/u/2/edit?mid=1XngtlqortmRWrjOUcsATcssx9aJRnFQ&amp;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0"/>
  <sheetViews>
    <sheetView topLeftCell="B1" zoomScaleNormal="100" workbookViewId="0">
      <selection activeCell="F2" sqref="F2"/>
    </sheetView>
  </sheetViews>
  <sheetFormatPr defaultColWidth="12.5703125" defaultRowHeight="15.75" customHeight="1" x14ac:dyDescent="0.2"/>
  <cols>
    <col min="1" max="1" width="31.5703125" customWidth="1"/>
    <col min="8" max="28" width="4.7109375" customWidth="1"/>
  </cols>
  <sheetData>
    <row r="1" spans="1:29" ht="12.75" x14ac:dyDescent="0.2">
      <c r="A1" s="33" t="s">
        <v>0</v>
      </c>
      <c r="B1" s="33" t="s">
        <v>1</v>
      </c>
      <c r="C1" s="35" t="s">
        <v>2</v>
      </c>
      <c r="D1" s="28"/>
      <c r="F1" s="1"/>
      <c r="G1" s="1" t="s">
        <v>71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5" t="s">
        <v>22</v>
      </c>
      <c r="AB1" s="17" t="s">
        <v>23</v>
      </c>
      <c r="AC1" s="15" t="s">
        <v>71</v>
      </c>
    </row>
    <row r="2" spans="1:29" ht="12.75" x14ac:dyDescent="0.2">
      <c r="A2" s="34"/>
      <c r="B2" s="34"/>
      <c r="C2" s="29"/>
      <c r="D2" s="31"/>
      <c r="E2" t="s">
        <v>71</v>
      </c>
      <c r="F2" s="2"/>
      <c r="G2" s="3" t="s">
        <v>72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  <c r="Z2" s="3" t="s">
        <v>42</v>
      </c>
      <c r="AA2" s="3" t="s">
        <v>43</v>
      </c>
      <c r="AB2" s="16" t="s">
        <v>44</v>
      </c>
    </row>
    <row r="3" spans="1:29" ht="12.75" x14ac:dyDescent="0.2">
      <c r="A3" s="1" t="s">
        <v>3</v>
      </c>
      <c r="B3" s="4" t="s">
        <v>24</v>
      </c>
      <c r="C3" s="32" t="s">
        <v>45</v>
      </c>
      <c r="D3" s="23"/>
      <c r="F3" s="1" t="s">
        <v>3</v>
      </c>
      <c r="G3" s="3" t="s">
        <v>24</v>
      </c>
      <c r="H3" s="6">
        <v>0</v>
      </c>
      <c r="I3" s="7">
        <v>2850</v>
      </c>
      <c r="J3" s="7">
        <v>3260</v>
      </c>
      <c r="K3" s="7">
        <v>4390</v>
      </c>
      <c r="L3" s="7">
        <v>5040</v>
      </c>
      <c r="M3" s="7">
        <v>5390</v>
      </c>
      <c r="N3" s="7">
        <v>4470</v>
      </c>
      <c r="O3" s="7">
        <v>4250</v>
      </c>
      <c r="P3" s="7">
        <v>4840</v>
      </c>
      <c r="Q3" s="7">
        <v>5030</v>
      </c>
      <c r="R3" s="7">
        <v>5070</v>
      </c>
      <c r="S3" s="7">
        <v>5900</v>
      </c>
      <c r="T3" s="7">
        <v>5820</v>
      </c>
      <c r="U3" s="7">
        <v>5840</v>
      </c>
      <c r="V3" s="7">
        <v>5850</v>
      </c>
      <c r="W3" s="7">
        <v>5220</v>
      </c>
      <c r="X3" s="7">
        <v>5450</v>
      </c>
      <c r="Y3" s="7">
        <v>5530</v>
      </c>
      <c r="Z3" s="7">
        <v>5810</v>
      </c>
      <c r="AA3" s="7">
        <v>6130</v>
      </c>
      <c r="AB3" s="7">
        <v>6400</v>
      </c>
    </row>
    <row r="4" spans="1:29" ht="12.75" x14ac:dyDescent="0.2">
      <c r="A4" s="1" t="s">
        <v>4</v>
      </c>
      <c r="B4" s="4" t="s">
        <v>25</v>
      </c>
      <c r="C4" s="32" t="s">
        <v>46</v>
      </c>
      <c r="D4" s="23"/>
      <c r="F4" s="1" t="s">
        <v>4</v>
      </c>
      <c r="G4" s="3" t="s">
        <v>25</v>
      </c>
      <c r="H4" s="7">
        <f t="array" ref="H4:H23">TRANSPOSE(I3:AB3)</f>
        <v>2850</v>
      </c>
      <c r="I4" s="6">
        <v>0</v>
      </c>
      <c r="J4" s="7">
        <v>1010</v>
      </c>
      <c r="K4" s="7">
        <v>2080</v>
      </c>
      <c r="L4" s="7">
        <v>2850</v>
      </c>
      <c r="M4" s="7">
        <v>3200</v>
      </c>
      <c r="N4" s="7">
        <v>2200</v>
      </c>
      <c r="O4" s="7">
        <v>1680</v>
      </c>
      <c r="P4" s="7">
        <v>2440</v>
      </c>
      <c r="Q4" s="7">
        <v>2560</v>
      </c>
      <c r="R4" s="7">
        <v>2560</v>
      </c>
      <c r="S4" s="7">
        <v>3750</v>
      </c>
      <c r="T4" s="7">
        <v>3610</v>
      </c>
      <c r="U4" s="7">
        <v>3660</v>
      </c>
      <c r="V4" s="7">
        <v>3650</v>
      </c>
      <c r="W4" s="7">
        <v>2770</v>
      </c>
      <c r="X4" s="7">
        <v>2970</v>
      </c>
      <c r="Y4" s="7">
        <v>3030</v>
      </c>
      <c r="Z4" s="7">
        <v>3340</v>
      </c>
      <c r="AA4" s="7">
        <v>3660</v>
      </c>
      <c r="AB4" s="7">
        <v>3930</v>
      </c>
    </row>
    <row r="5" spans="1:29" ht="12.75" x14ac:dyDescent="0.2">
      <c r="A5" s="1" t="s">
        <v>5</v>
      </c>
      <c r="B5" s="4" t="s">
        <v>26</v>
      </c>
      <c r="C5" s="32" t="s">
        <v>47</v>
      </c>
      <c r="D5" s="23"/>
      <c r="F5" s="1" t="s">
        <v>5</v>
      </c>
      <c r="G5" s="3" t="s">
        <v>26</v>
      </c>
      <c r="H5" s="8">
        <v>3260</v>
      </c>
      <c r="I5" s="7">
        <f t="array" ref="I5:I23">TRANSPOSE(J4:AB4)</f>
        <v>1010</v>
      </c>
      <c r="J5" s="6">
        <v>0</v>
      </c>
      <c r="K5" s="7">
        <v>1150</v>
      </c>
      <c r="L5" s="7">
        <v>1910</v>
      </c>
      <c r="M5" s="7">
        <v>2300</v>
      </c>
      <c r="N5" s="7">
        <v>1360</v>
      </c>
      <c r="O5" s="7">
        <v>1290</v>
      </c>
      <c r="P5" s="7">
        <v>1770</v>
      </c>
      <c r="Q5" s="7">
        <v>1940</v>
      </c>
      <c r="R5" s="7">
        <v>2010</v>
      </c>
      <c r="S5" s="7">
        <v>2870</v>
      </c>
      <c r="T5" s="7">
        <v>2760</v>
      </c>
      <c r="U5" s="7">
        <v>2800</v>
      </c>
      <c r="V5" s="7">
        <v>2780</v>
      </c>
      <c r="W5" s="7">
        <v>2180</v>
      </c>
      <c r="X5" s="7">
        <v>2390</v>
      </c>
      <c r="Y5" s="7">
        <v>2410</v>
      </c>
      <c r="Z5" s="7">
        <v>2750</v>
      </c>
      <c r="AA5" s="7">
        <v>2910</v>
      </c>
      <c r="AB5" s="7">
        <v>3200</v>
      </c>
    </row>
    <row r="6" spans="1:29" ht="12.75" x14ac:dyDescent="0.2">
      <c r="A6" s="1" t="s">
        <v>6</v>
      </c>
      <c r="B6" s="4" t="s">
        <v>27</v>
      </c>
      <c r="C6" s="32" t="s">
        <v>48</v>
      </c>
      <c r="D6" s="23"/>
      <c r="F6" s="1" t="s">
        <v>6</v>
      </c>
      <c r="G6" s="3" t="s">
        <v>27</v>
      </c>
      <c r="H6" s="7">
        <v>4390</v>
      </c>
      <c r="I6" s="8">
        <v>2080</v>
      </c>
      <c r="J6" s="7">
        <f t="array" ref="J6:J23">TRANSPOSE(K5:AB5)</f>
        <v>1150</v>
      </c>
      <c r="K6" s="6">
        <v>0</v>
      </c>
      <c r="L6" s="7">
        <v>865</v>
      </c>
      <c r="M6" s="7">
        <v>1450</v>
      </c>
      <c r="N6" s="7">
        <v>779</v>
      </c>
      <c r="O6" s="7">
        <v>1640</v>
      </c>
      <c r="P6" s="7">
        <v>1080</v>
      </c>
      <c r="Q6" s="7">
        <v>1260</v>
      </c>
      <c r="R6" s="7">
        <v>1300</v>
      </c>
      <c r="S6" s="7">
        <v>2110</v>
      </c>
      <c r="T6" s="7">
        <v>1980</v>
      </c>
      <c r="U6" s="7">
        <v>2030</v>
      </c>
      <c r="V6" s="7">
        <v>2020</v>
      </c>
      <c r="W6" s="7">
        <v>1490</v>
      </c>
      <c r="X6" s="7">
        <v>1680</v>
      </c>
      <c r="Y6" s="7">
        <v>1730</v>
      </c>
      <c r="Z6" s="7">
        <v>2050</v>
      </c>
      <c r="AA6" s="7">
        <v>2130</v>
      </c>
      <c r="AB6" s="7">
        <v>2420</v>
      </c>
    </row>
    <row r="7" spans="1:29" ht="12.75" x14ac:dyDescent="0.2">
      <c r="A7" s="1" t="s">
        <v>7</v>
      </c>
      <c r="B7" s="4" t="s">
        <v>28</v>
      </c>
      <c r="C7" s="32" t="s">
        <v>49</v>
      </c>
      <c r="D7" s="23"/>
      <c r="F7" s="1" t="s">
        <v>7</v>
      </c>
      <c r="G7" s="3" t="s">
        <v>28</v>
      </c>
      <c r="H7" s="9">
        <v>5040</v>
      </c>
      <c r="I7" s="8">
        <v>2850</v>
      </c>
      <c r="J7" s="8">
        <v>1910</v>
      </c>
      <c r="K7" s="7">
        <f t="array" ref="K7:K23">TRANSPOSE(L6:AB6)</f>
        <v>865</v>
      </c>
      <c r="L7" s="6">
        <v>0</v>
      </c>
      <c r="M7" s="7">
        <v>572</v>
      </c>
      <c r="N7" s="7">
        <v>1060</v>
      </c>
      <c r="O7" s="7">
        <v>1920</v>
      </c>
      <c r="P7" s="7">
        <v>1210</v>
      </c>
      <c r="Q7" s="7">
        <v>1380</v>
      </c>
      <c r="R7" s="7">
        <v>1510</v>
      </c>
      <c r="S7" s="7">
        <v>1410</v>
      </c>
      <c r="T7" s="7">
        <v>1290</v>
      </c>
      <c r="U7" s="7">
        <v>1510</v>
      </c>
      <c r="V7" s="7">
        <v>1320</v>
      </c>
      <c r="W7" s="7">
        <v>1620</v>
      </c>
      <c r="X7" s="7">
        <v>1650</v>
      </c>
      <c r="Y7" s="7">
        <v>1530</v>
      </c>
      <c r="Z7" s="7">
        <v>1820</v>
      </c>
      <c r="AA7" s="7">
        <v>1630</v>
      </c>
      <c r="AB7" s="7">
        <v>1920</v>
      </c>
    </row>
    <row r="8" spans="1:29" ht="12.75" x14ac:dyDescent="0.2">
      <c r="A8" s="1" t="s">
        <v>8</v>
      </c>
      <c r="B8" s="4" t="s">
        <v>29</v>
      </c>
      <c r="C8" s="32" t="s">
        <v>50</v>
      </c>
      <c r="D8" s="23"/>
      <c r="F8" s="1" t="s">
        <v>8</v>
      </c>
      <c r="G8" s="3" t="s">
        <v>29</v>
      </c>
      <c r="H8" s="8">
        <v>5390</v>
      </c>
      <c r="I8" s="8">
        <v>3200</v>
      </c>
      <c r="J8" s="8">
        <v>2300</v>
      </c>
      <c r="K8" s="8">
        <v>1450</v>
      </c>
      <c r="L8" s="7">
        <f t="array" ref="L8:L23">TRANSPOSE(M7:AB7)</f>
        <v>572</v>
      </c>
      <c r="M8" s="6">
        <v>0</v>
      </c>
      <c r="N8" s="7">
        <v>962</v>
      </c>
      <c r="O8" s="7">
        <v>1850</v>
      </c>
      <c r="P8" s="7">
        <v>1110</v>
      </c>
      <c r="Q8" s="7">
        <v>1140</v>
      </c>
      <c r="R8" s="7">
        <v>1260</v>
      </c>
      <c r="S8" s="7">
        <v>949</v>
      </c>
      <c r="T8" s="7">
        <v>857</v>
      </c>
      <c r="U8" s="7">
        <v>858</v>
      </c>
      <c r="V8" s="7">
        <v>815</v>
      </c>
      <c r="W8" s="7">
        <v>1390</v>
      </c>
      <c r="X8" s="7">
        <v>1400</v>
      </c>
      <c r="Y8" s="7">
        <v>1140</v>
      </c>
      <c r="Z8" s="7">
        <v>1290</v>
      </c>
      <c r="AA8" s="7">
        <v>1100</v>
      </c>
      <c r="AB8" s="7">
        <v>1390</v>
      </c>
    </row>
    <row r="9" spans="1:29" ht="12.75" x14ac:dyDescent="0.2">
      <c r="A9" s="1" t="s">
        <v>9</v>
      </c>
      <c r="B9" s="4" t="s">
        <v>30</v>
      </c>
      <c r="C9" s="32" t="s">
        <v>51</v>
      </c>
      <c r="D9" s="23"/>
      <c r="F9" s="1" t="s">
        <v>9</v>
      </c>
      <c r="G9" s="3" t="s">
        <v>30</v>
      </c>
      <c r="H9" s="8">
        <v>4470</v>
      </c>
      <c r="I9" s="8">
        <v>2200</v>
      </c>
      <c r="J9" s="8">
        <v>1360</v>
      </c>
      <c r="K9" s="8">
        <v>779</v>
      </c>
      <c r="L9" s="8">
        <v>1060</v>
      </c>
      <c r="M9" s="8">
        <f t="array" ref="M9:M23">TRANSPOSE(N8:AB8)</f>
        <v>962</v>
      </c>
      <c r="N9" s="6">
        <v>0</v>
      </c>
      <c r="O9" s="7">
        <v>910</v>
      </c>
      <c r="P9" s="7">
        <v>385</v>
      </c>
      <c r="Q9" s="7">
        <v>559</v>
      </c>
      <c r="R9" s="7">
        <v>598</v>
      </c>
      <c r="S9" s="7">
        <v>1530</v>
      </c>
      <c r="T9" s="7">
        <v>1420</v>
      </c>
      <c r="U9" s="7">
        <v>1420</v>
      </c>
      <c r="V9" s="7">
        <v>1440</v>
      </c>
      <c r="W9" s="7">
        <v>761</v>
      </c>
      <c r="X9" s="7">
        <v>960</v>
      </c>
      <c r="Y9" s="7">
        <v>1030</v>
      </c>
      <c r="Z9" s="7">
        <v>1340</v>
      </c>
      <c r="AA9" s="7">
        <v>1580</v>
      </c>
      <c r="AB9" s="7">
        <v>1880</v>
      </c>
    </row>
    <row r="10" spans="1:29" ht="12.75" x14ac:dyDescent="0.2">
      <c r="A10" s="1" t="s">
        <v>10</v>
      </c>
      <c r="B10" s="4" t="s">
        <v>31</v>
      </c>
      <c r="C10" s="32" t="s">
        <v>52</v>
      </c>
      <c r="D10" s="23"/>
      <c r="F10" s="1" t="s">
        <v>10</v>
      </c>
      <c r="G10" s="3" t="s">
        <v>31</v>
      </c>
      <c r="H10" s="8">
        <v>4250</v>
      </c>
      <c r="I10" s="8">
        <v>1680</v>
      </c>
      <c r="J10" s="7">
        <v>1290</v>
      </c>
      <c r="K10" s="8">
        <v>1640</v>
      </c>
      <c r="L10" s="8">
        <v>1920</v>
      </c>
      <c r="M10" s="8">
        <v>1850</v>
      </c>
      <c r="N10" s="7">
        <f t="array" ref="N10:N23">TRANSPOSE(O9:AB9)</f>
        <v>910</v>
      </c>
      <c r="O10" s="6">
        <v>0</v>
      </c>
      <c r="P10" s="7">
        <v>892</v>
      </c>
      <c r="Q10" s="7">
        <v>991</v>
      </c>
      <c r="R10" s="7">
        <v>964</v>
      </c>
      <c r="S10" s="7">
        <v>2160</v>
      </c>
      <c r="T10" s="7">
        <v>2080</v>
      </c>
      <c r="U10" s="7">
        <v>2080</v>
      </c>
      <c r="V10" s="7">
        <v>2050</v>
      </c>
      <c r="W10" s="7">
        <v>1140</v>
      </c>
      <c r="X10" s="7">
        <v>1380</v>
      </c>
      <c r="Y10" s="7">
        <v>1460</v>
      </c>
      <c r="Z10" s="7">
        <v>1790</v>
      </c>
      <c r="AA10" s="7">
        <v>2110</v>
      </c>
      <c r="AB10" s="7">
        <v>2380</v>
      </c>
    </row>
    <row r="11" spans="1:29" ht="12.75" x14ac:dyDescent="0.2">
      <c r="A11" s="1" t="s">
        <v>11</v>
      </c>
      <c r="B11" s="4" t="s">
        <v>32</v>
      </c>
      <c r="C11" s="32" t="s">
        <v>53</v>
      </c>
      <c r="D11" s="23"/>
      <c r="F11" s="1" t="s">
        <v>11</v>
      </c>
      <c r="G11" s="3" t="s">
        <v>32</v>
      </c>
      <c r="H11" s="8">
        <v>4840</v>
      </c>
      <c r="I11" s="8">
        <v>2440</v>
      </c>
      <c r="J11" s="8">
        <v>1770</v>
      </c>
      <c r="K11" s="8">
        <v>1080</v>
      </c>
      <c r="L11" s="8">
        <v>1210</v>
      </c>
      <c r="M11" s="8">
        <v>1110</v>
      </c>
      <c r="N11" s="7">
        <v>385</v>
      </c>
      <c r="O11" s="8">
        <f t="array" ref="O11:O23">TRANSPOSE(P10:AB10)</f>
        <v>892</v>
      </c>
      <c r="P11" s="6">
        <v>0</v>
      </c>
      <c r="Q11" s="7">
        <v>184</v>
      </c>
      <c r="R11" s="7">
        <v>230</v>
      </c>
      <c r="S11" s="7">
        <v>1390</v>
      </c>
      <c r="T11" s="7">
        <v>1240</v>
      </c>
      <c r="U11" s="7">
        <v>1300</v>
      </c>
      <c r="V11" s="7">
        <v>1290</v>
      </c>
      <c r="W11" s="7">
        <v>373</v>
      </c>
      <c r="X11" s="7">
        <v>602</v>
      </c>
      <c r="Y11" s="7">
        <v>655</v>
      </c>
      <c r="Z11" s="7">
        <v>967</v>
      </c>
      <c r="AA11" s="7">
        <v>1280</v>
      </c>
      <c r="AB11" s="7">
        <v>1550</v>
      </c>
    </row>
    <row r="12" spans="1:29" ht="12.75" x14ac:dyDescent="0.2">
      <c r="A12" s="1" t="s">
        <v>12</v>
      </c>
      <c r="B12" s="4" t="s">
        <v>33</v>
      </c>
      <c r="C12" s="32" t="s">
        <v>54</v>
      </c>
      <c r="D12" s="23"/>
      <c r="F12" s="1" t="s">
        <v>12</v>
      </c>
      <c r="G12" s="3" t="s">
        <v>33</v>
      </c>
      <c r="H12" s="8">
        <v>5030</v>
      </c>
      <c r="I12" s="8">
        <v>2560</v>
      </c>
      <c r="J12" s="8">
        <v>1940</v>
      </c>
      <c r="K12" s="8">
        <v>1260</v>
      </c>
      <c r="L12" s="8">
        <v>1380</v>
      </c>
      <c r="M12" s="8">
        <v>1140</v>
      </c>
      <c r="N12" s="8">
        <v>559</v>
      </c>
      <c r="O12" s="8">
        <v>991</v>
      </c>
      <c r="P12" s="8">
        <f t="array" ref="P12:P23">TRANSPOSE(Q11:AB11)</f>
        <v>184</v>
      </c>
      <c r="Q12" s="6">
        <v>0</v>
      </c>
      <c r="R12" s="7">
        <v>154</v>
      </c>
      <c r="S12" s="7">
        <v>1220</v>
      </c>
      <c r="T12" s="7">
        <v>1110</v>
      </c>
      <c r="U12" s="7">
        <v>1140</v>
      </c>
      <c r="V12" s="7">
        <v>1120</v>
      </c>
      <c r="W12" s="7">
        <v>200</v>
      </c>
      <c r="X12" s="7">
        <v>410</v>
      </c>
      <c r="Y12" s="7">
        <v>474</v>
      </c>
      <c r="Z12" s="7">
        <v>774</v>
      </c>
      <c r="AA12" s="7">
        <v>1090</v>
      </c>
      <c r="AB12" s="7">
        <v>1360</v>
      </c>
    </row>
    <row r="13" spans="1:29" ht="12.75" x14ac:dyDescent="0.2">
      <c r="A13" s="1" t="s">
        <v>13</v>
      </c>
      <c r="B13" s="4" t="s">
        <v>34</v>
      </c>
      <c r="C13" s="32" t="s">
        <v>55</v>
      </c>
      <c r="D13" s="23"/>
      <c r="F13" s="1" t="s">
        <v>13</v>
      </c>
      <c r="G13" s="3" t="s">
        <v>34</v>
      </c>
      <c r="H13" s="8">
        <v>5070</v>
      </c>
      <c r="I13" s="8">
        <v>2560</v>
      </c>
      <c r="J13" s="8">
        <v>2010</v>
      </c>
      <c r="K13" s="8">
        <v>1300</v>
      </c>
      <c r="L13" s="8">
        <v>1510</v>
      </c>
      <c r="M13" s="8">
        <v>1260</v>
      </c>
      <c r="N13" s="8">
        <v>598</v>
      </c>
      <c r="O13" s="8">
        <v>964</v>
      </c>
      <c r="P13" s="7">
        <v>230</v>
      </c>
      <c r="Q13" s="7">
        <f t="array" ref="Q13:Q23">TRANSPOSE(R12:AB12)</f>
        <v>154</v>
      </c>
      <c r="R13" s="6">
        <v>0</v>
      </c>
      <c r="S13" s="7">
        <v>1340</v>
      </c>
      <c r="T13" s="7">
        <v>1210</v>
      </c>
      <c r="U13" s="7">
        <v>1240</v>
      </c>
      <c r="V13" s="7">
        <v>1240</v>
      </c>
      <c r="W13" s="7">
        <v>172</v>
      </c>
      <c r="X13" s="7">
        <v>420</v>
      </c>
      <c r="Y13" s="7">
        <v>627</v>
      </c>
      <c r="Z13" s="7">
        <v>926</v>
      </c>
      <c r="AA13" s="7">
        <v>1250</v>
      </c>
      <c r="AB13" s="7">
        <v>1520</v>
      </c>
    </row>
    <row r="14" spans="1:29" ht="12.75" x14ac:dyDescent="0.2">
      <c r="A14" s="1" t="s">
        <v>14</v>
      </c>
      <c r="B14" s="4" t="s">
        <v>35</v>
      </c>
      <c r="C14" s="32" t="s">
        <v>56</v>
      </c>
      <c r="D14" s="23"/>
      <c r="F14" s="1" t="s">
        <v>14</v>
      </c>
      <c r="G14" s="3" t="s">
        <v>35</v>
      </c>
      <c r="H14" s="8">
        <v>5900</v>
      </c>
      <c r="I14" s="8">
        <v>3750</v>
      </c>
      <c r="J14" s="8">
        <v>2870</v>
      </c>
      <c r="K14" s="8">
        <v>2110</v>
      </c>
      <c r="L14" s="8">
        <v>1410</v>
      </c>
      <c r="M14" s="8">
        <v>949</v>
      </c>
      <c r="N14" s="8">
        <v>1530</v>
      </c>
      <c r="O14" s="8">
        <v>2160</v>
      </c>
      <c r="P14" s="8">
        <v>1390</v>
      </c>
      <c r="Q14" s="8">
        <v>1220</v>
      </c>
      <c r="R14" s="8">
        <f t="array" ref="R14:R23">TRANSPOSE(S13:AB13)</f>
        <v>1340</v>
      </c>
      <c r="S14" s="6">
        <v>0</v>
      </c>
      <c r="T14" s="7">
        <v>140</v>
      </c>
      <c r="U14" s="7">
        <v>85</v>
      </c>
      <c r="V14" s="7">
        <v>135</v>
      </c>
      <c r="W14" s="7">
        <v>1390</v>
      </c>
      <c r="X14" s="7">
        <v>1070</v>
      </c>
      <c r="Y14" s="7">
        <v>784</v>
      </c>
      <c r="Z14" s="7">
        <v>622</v>
      </c>
      <c r="AA14" s="7">
        <v>434</v>
      </c>
      <c r="AB14" s="7">
        <v>723</v>
      </c>
    </row>
    <row r="15" spans="1:29" ht="12.75" x14ac:dyDescent="0.2">
      <c r="A15" s="1" t="s">
        <v>15</v>
      </c>
      <c r="B15" s="4" t="s">
        <v>36</v>
      </c>
      <c r="C15" s="32" t="s">
        <v>57</v>
      </c>
      <c r="D15" s="23"/>
      <c r="F15" s="1" t="s">
        <v>15</v>
      </c>
      <c r="G15" s="3" t="s">
        <v>36</v>
      </c>
      <c r="H15" s="8">
        <v>5820</v>
      </c>
      <c r="I15" s="8">
        <v>3610</v>
      </c>
      <c r="J15" s="8">
        <v>2760</v>
      </c>
      <c r="K15" s="8">
        <v>1980</v>
      </c>
      <c r="L15" s="8">
        <v>1290</v>
      </c>
      <c r="M15" s="8">
        <v>857</v>
      </c>
      <c r="N15" s="8">
        <v>1420</v>
      </c>
      <c r="O15" s="8">
        <v>2080</v>
      </c>
      <c r="P15" s="8">
        <v>1240</v>
      </c>
      <c r="Q15" s="8">
        <v>1110</v>
      </c>
      <c r="R15" s="8">
        <v>1210</v>
      </c>
      <c r="S15" s="8">
        <f t="array" ref="S15:S23">TRANSPOSE(T14:AB14)</f>
        <v>140</v>
      </c>
      <c r="T15" s="6">
        <v>0</v>
      </c>
      <c r="U15" s="7">
        <v>15</v>
      </c>
      <c r="V15" s="7">
        <v>42</v>
      </c>
      <c r="W15" s="7">
        <v>1260</v>
      </c>
      <c r="X15" s="7">
        <v>958</v>
      </c>
      <c r="Y15" s="7">
        <v>622</v>
      </c>
      <c r="Z15" s="7">
        <v>537</v>
      </c>
      <c r="AA15" s="7">
        <v>346</v>
      </c>
      <c r="AB15" s="7">
        <v>640</v>
      </c>
    </row>
    <row r="16" spans="1:29" ht="12.75" x14ac:dyDescent="0.2">
      <c r="A16" s="1" t="s">
        <v>16</v>
      </c>
      <c r="B16" s="4" t="s">
        <v>37</v>
      </c>
      <c r="C16" s="32" t="s">
        <v>58</v>
      </c>
      <c r="D16" s="23"/>
      <c r="F16" s="1" t="s">
        <v>16</v>
      </c>
      <c r="G16" s="3" t="s">
        <v>37</v>
      </c>
      <c r="H16" s="8">
        <v>5840</v>
      </c>
      <c r="I16" s="8">
        <v>3660</v>
      </c>
      <c r="J16" s="8">
        <v>2800</v>
      </c>
      <c r="K16" s="8">
        <v>2030</v>
      </c>
      <c r="L16" s="8">
        <v>1510</v>
      </c>
      <c r="M16" s="8">
        <v>858</v>
      </c>
      <c r="N16" s="8">
        <v>1420</v>
      </c>
      <c r="O16" s="8">
        <v>2080</v>
      </c>
      <c r="P16" s="8">
        <v>1300</v>
      </c>
      <c r="Q16" s="8">
        <v>1140</v>
      </c>
      <c r="R16" s="8">
        <v>1240</v>
      </c>
      <c r="S16" s="7">
        <v>85</v>
      </c>
      <c r="T16" s="10">
        <f t="array" ref="T16:T23">TRANSPOSE(U15:AB15)</f>
        <v>15</v>
      </c>
      <c r="U16" s="6">
        <v>0</v>
      </c>
      <c r="V16" s="7">
        <v>47</v>
      </c>
      <c r="W16" s="7">
        <v>1290</v>
      </c>
      <c r="X16" s="7">
        <v>983</v>
      </c>
      <c r="Y16" s="7">
        <v>697</v>
      </c>
      <c r="Z16" s="7">
        <v>534</v>
      </c>
      <c r="AA16" s="7">
        <v>348</v>
      </c>
      <c r="AB16" s="7">
        <v>639</v>
      </c>
    </row>
    <row r="17" spans="1:28" ht="12.75" x14ac:dyDescent="0.2">
      <c r="A17" s="1" t="s">
        <v>17</v>
      </c>
      <c r="B17" s="4" t="s">
        <v>38</v>
      </c>
      <c r="C17" s="32" t="s">
        <v>59</v>
      </c>
      <c r="D17" s="23"/>
      <c r="F17" s="1" t="s">
        <v>17</v>
      </c>
      <c r="G17" s="3" t="s">
        <v>38</v>
      </c>
      <c r="H17" s="8">
        <v>5850</v>
      </c>
      <c r="I17" s="8">
        <v>3650</v>
      </c>
      <c r="J17" s="8">
        <v>2780</v>
      </c>
      <c r="K17" s="8">
        <v>2020</v>
      </c>
      <c r="L17" s="8">
        <v>1320</v>
      </c>
      <c r="M17" s="7">
        <v>815</v>
      </c>
      <c r="N17" s="8">
        <v>1440</v>
      </c>
      <c r="O17" s="8">
        <v>2050</v>
      </c>
      <c r="P17" s="8">
        <v>1290</v>
      </c>
      <c r="Q17" s="8">
        <v>1120</v>
      </c>
      <c r="R17" s="8">
        <v>1240</v>
      </c>
      <c r="S17" s="8">
        <v>135</v>
      </c>
      <c r="T17" s="8">
        <v>42</v>
      </c>
      <c r="U17" s="7">
        <f t="array" ref="U17:U23">TRANSPOSE(V16:AB16)</f>
        <v>47</v>
      </c>
      <c r="V17" s="6">
        <v>0</v>
      </c>
      <c r="W17" s="7">
        <v>1290</v>
      </c>
      <c r="X17" s="7">
        <v>969</v>
      </c>
      <c r="Y17" s="7">
        <v>690</v>
      </c>
      <c r="Z17" s="7">
        <v>487</v>
      </c>
      <c r="AA17" s="7">
        <v>297</v>
      </c>
      <c r="AB17" s="7">
        <v>590</v>
      </c>
    </row>
    <row r="18" spans="1:28" ht="12.75" x14ac:dyDescent="0.2">
      <c r="A18" s="1" t="s">
        <v>18</v>
      </c>
      <c r="B18" s="4" t="s">
        <v>39</v>
      </c>
      <c r="C18" s="32" t="s">
        <v>60</v>
      </c>
      <c r="D18" s="23"/>
      <c r="F18" s="1" t="s">
        <v>18</v>
      </c>
      <c r="G18" s="3" t="s">
        <v>39</v>
      </c>
      <c r="H18" s="8">
        <v>5220</v>
      </c>
      <c r="I18" s="8">
        <v>2770</v>
      </c>
      <c r="J18" s="8">
        <v>2180</v>
      </c>
      <c r="K18" s="8">
        <v>1490</v>
      </c>
      <c r="L18" s="8">
        <v>1620</v>
      </c>
      <c r="M18" s="8">
        <v>1390</v>
      </c>
      <c r="N18" s="8">
        <v>761</v>
      </c>
      <c r="O18" s="8">
        <v>1140</v>
      </c>
      <c r="P18" s="8">
        <v>373</v>
      </c>
      <c r="Q18" s="7">
        <v>200</v>
      </c>
      <c r="R18" s="8">
        <v>172</v>
      </c>
      <c r="S18" s="8">
        <v>1390</v>
      </c>
      <c r="T18" s="8">
        <v>1260</v>
      </c>
      <c r="U18" s="8">
        <v>1290</v>
      </c>
      <c r="V18" s="8">
        <f t="array" ref="V18:V23">TRANSPOSE(W17:AB17)</f>
        <v>1290</v>
      </c>
      <c r="W18" s="6">
        <v>0</v>
      </c>
      <c r="X18" s="7">
        <v>356</v>
      </c>
      <c r="Y18" s="7">
        <v>658</v>
      </c>
      <c r="Z18" s="7">
        <v>945</v>
      </c>
      <c r="AA18" s="7">
        <v>1270</v>
      </c>
      <c r="AB18" s="7">
        <v>1540</v>
      </c>
    </row>
    <row r="19" spans="1:28" ht="12.75" x14ac:dyDescent="0.2">
      <c r="A19" s="1" t="s">
        <v>19</v>
      </c>
      <c r="B19" s="4" t="s">
        <v>40</v>
      </c>
      <c r="C19" s="32" t="s">
        <v>61</v>
      </c>
      <c r="D19" s="23"/>
      <c r="F19" s="1" t="s">
        <v>19</v>
      </c>
      <c r="G19" s="3" t="s">
        <v>40</v>
      </c>
      <c r="H19" s="8">
        <v>5450</v>
      </c>
      <c r="I19" s="8">
        <v>2970</v>
      </c>
      <c r="J19" s="8">
        <v>2390</v>
      </c>
      <c r="K19" s="8">
        <v>1680</v>
      </c>
      <c r="L19" s="8">
        <v>1650</v>
      </c>
      <c r="M19" s="8">
        <v>1400</v>
      </c>
      <c r="N19" s="8">
        <v>960</v>
      </c>
      <c r="O19" s="8">
        <v>1380</v>
      </c>
      <c r="P19" s="8">
        <v>602</v>
      </c>
      <c r="Q19" s="8">
        <v>410</v>
      </c>
      <c r="R19" s="8">
        <v>420</v>
      </c>
      <c r="S19" s="8">
        <v>1070</v>
      </c>
      <c r="T19" s="8">
        <v>958</v>
      </c>
      <c r="U19" s="8">
        <v>983</v>
      </c>
      <c r="V19" s="8">
        <v>969</v>
      </c>
      <c r="W19" s="7">
        <f t="array" ref="W19:W23">TRANSPOSE(X18:AB18)</f>
        <v>356</v>
      </c>
      <c r="X19" s="6">
        <v>0</v>
      </c>
      <c r="Y19" s="7">
        <v>291</v>
      </c>
      <c r="Z19" s="7">
        <v>593</v>
      </c>
      <c r="AA19" s="7">
        <v>900</v>
      </c>
      <c r="AB19" s="7">
        <v>1180</v>
      </c>
    </row>
    <row r="20" spans="1:28" ht="12.75" x14ac:dyDescent="0.2">
      <c r="A20" s="1" t="s">
        <v>20</v>
      </c>
      <c r="B20" s="4" t="s">
        <v>41</v>
      </c>
      <c r="C20" s="32" t="s">
        <v>62</v>
      </c>
      <c r="D20" s="23"/>
      <c r="F20" s="1" t="s">
        <v>20</v>
      </c>
      <c r="G20" s="3" t="s">
        <v>41</v>
      </c>
      <c r="H20" s="8">
        <v>5530</v>
      </c>
      <c r="I20" s="8">
        <v>3030</v>
      </c>
      <c r="J20" s="8">
        <v>2410</v>
      </c>
      <c r="K20" s="8">
        <v>1730</v>
      </c>
      <c r="L20" s="8">
        <v>1530</v>
      </c>
      <c r="M20" s="8">
        <v>1140</v>
      </c>
      <c r="N20" s="8">
        <v>1030</v>
      </c>
      <c r="O20" s="8">
        <v>1460</v>
      </c>
      <c r="P20" s="8">
        <v>655</v>
      </c>
      <c r="Q20" s="8">
        <v>474</v>
      </c>
      <c r="R20" s="8">
        <v>627</v>
      </c>
      <c r="S20" s="8">
        <v>784</v>
      </c>
      <c r="T20" s="8">
        <v>622</v>
      </c>
      <c r="U20" s="8">
        <v>697</v>
      </c>
      <c r="V20" s="8">
        <v>690</v>
      </c>
      <c r="W20" s="8">
        <v>658</v>
      </c>
      <c r="X20" s="7">
        <f t="array" ref="X20:X23">TRANSPOSE(Y19:AB19)</f>
        <v>291</v>
      </c>
      <c r="Y20" s="6">
        <v>0</v>
      </c>
      <c r="Z20" s="7">
        <v>337</v>
      </c>
      <c r="AA20" s="7">
        <v>621</v>
      </c>
      <c r="AB20" s="7">
        <v>914</v>
      </c>
    </row>
    <row r="21" spans="1:28" ht="12.75" x14ac:dyDescent="0.2">
      <c r="A21" s="1" t="s">
        <v>21</v>
      </c>
      <c r="B21" s="4" t="s">
        <v>42</v>
      </c>
      <c r="C21" s="32" t="s">
        <v>63</v>
      </c>
      <c r="D21" s="23"/>
      <c r="F21" s="1" t="s">
        <v>21</v>
      </c>
      <c r="G21" s="3" t="s">
        <v>42</v>
      </c>
      <c r="H21" s="8">
        <v>5810</v>
      </c>
      <c r="I21" s="8">
        <v>3340</v>
      </c>
      <c r="J21" s="8">
        <v>2750</v>
      </c>
      <c r="K21" s="8">
        <v>2050</v>
      </c>
      <c r="L21" s="8">
        <v>1820</v>
      </c>
      <c r="M21" s="8">
        <v>1290</v>
      </c>
      <c r="N21" s="8">
        <v>1340</v>
      </c>
      <c r="O21" s="8">
        <v>1790</v>
      </c>
      <c r="P21" s="8">
        <v>967</v>
      </c>
      <c r="Q21" s="8">
        <v>774</v>
      </c>
      <c r="R21" s="8">
        <v>926</v>
      </c>
      <c r="S21" s="8">
        <v>622</v>
      </c>
      <c r="T21" s="8">
        <v>537</v>
      </c>
      <c r="U21" s="8">
        <v>534</v>
      </c>
      <c r="V21" s="8">
        <v>487</v>
      </c>
      <c r="W21" s="8">
        <v>945</v>
      </c>
      <c r="X21" s="8">
        <v>593</v>
      </c>
      <c r="Y21" s="7">
        <f t="array" ref="Y21:Y23">TRANSPOSE(Z20:AB20)</f>
        <v>337</v>
      </c>
      <c r="Z21" s="6">
        <v>0</v>
      </c>
      <c r="AA21" s="7">
        <v>313</v>
      </c>
      <c r="AB21" s="7">
        <v>583</v>
      </c>
    </row>
    <row r="22" spans="1:28" ht="12.75" x14ac:dyDescent="0.2">
      <c r="A22" s="1" t="s">
        <v>22</v>
      </c>
      <c r="B22" s="4" t="s">
        <v>43</v>
      </c>
      <c r="C22" s="32" t="s">
        <v>64</v>
      </c>
      <c r="D22" s="23"/>
      <c r="F22" s="1" t="s">
        <v>22</v>
      </c>
      <c r="G22" s="3" t="s">
        <v>43</v>
      </c>
      <c r="H22" s="8">
        <v>6130</v>
      </c>
      <c r="I22" s="8">
        <v>3660</v>
      </c>
      <c r="J22" s="8">
        <v>2910</v>
      </c>
      <c r="K22" s="8">
        <v>2130</v>
      </c>
      <c r="L22" s="8">
        <v>1630</v>
      </c>
      <c r="M22" s="8">
        <v>1100</v>
      </c>
      <c r="N22" s="8">
        <v>1580</v>
      </c>
      <c r="O22" s="8">
        <v>2110</v>
      </c>
      <c r="P22" s="8">
        <v>1280</v>
      </c>
      <c r="Q22" s="8">
        <v>1090</v>
      </c>
      <c r="R22" s="7">
        <v>1250</v>
      </c>
      <c r="S22" s="8">
        <v>434</v>
      </c>
      <c r="T22" s="8">
        <v>346</v>
      </c>
      <c r="U22" s="8">
        <v>348</v>
      </c>
      <c r="V22" s="7">
        <v>297</v>
      </c>
      <c r="W22" s="8">
        <v>1270</v>
      </c>
      <c r="X22" s="8">
        <v>900</v>
      </c>
      <c r="Y22" s="8">
        <v>621</v>
      </c>
      <c r="Z22" s="7">
        <f t="array" ref="Z22:Z23">TRANSPOSE(AA21:AB21)</f>
        <v>313</v>
      </c>
      <c r="AA22" s="6">
        <v>0</v>
      </c>
      <c r="AB22" s="7">
        <v>296</v>
      </c>
    </row>
    <row r="23" spans="1:28" ht="12.75" x14ac:dyDescent="0.2">
      <c r="A23" s="1" t="s">
        <v>23</v>
      </c>
      <c r="B23" s="4" t="s">
        <v>44</v>
      </c>
      <c r="C23" s="32" t="s">
        <v>65</v>
      </c>
      <c r="D23" s="23"/>
      <c r="F23" s="1" t="s">
        <v>23</v>
      </c>
      <c r="G23" s="3" t="s">
        <v>44</v>
      </c>
      <c r="H23" s="8">
        <v>6400</v>
      </c>
      <c r="I23" s="7">
        <v>3930</v>
      </c>
      <c r="J23" s="8">
        <v>3200</v>
      </c>
      <c r="K23" s="8">
        <v>2420</v>
      </c>
      <c r="L23" s="8">
        <v>1920</v>
      </c>
      <c r="M23" s="8">
        <v>1390</v>
      </c>
      <c r="N23" s="8">
        <v>1880</v>
      </c>
      <c r="O23" s="8">
        <v>2380</v>
      </c>
      <c r="P23" s="8">
        <v>1550</v>
      </c>
      <c r="Q23" s="8">
        <v>1360</v>
      </c>
      <c r="R23" s="8">
        <v>1520</v>
      </c>
      <c r="S23" s="8">
        <v>723</v>
      </c>
      <c r="T23" s="8">
        <v>640</v>
      </c>
      <c r="U23" s="8">
        <v>639</v>
      </c>
      <c r="V23" s="8">
        <v>590</v>
      </c>
      <c r="W23" s="8">
        <v>1540</v>
      </c>
      <c r="X23" s="8">
        <v>1180</v>
      </c>
      <c r="Y23" s="8">
        <v>914</v>
      </c>
      <c r="Z23" s="8">
        <v>583</v>
      </c>
      <c r="AA23" s="7">
        <f t="array" ref="AA23">TRANSPOSE(AB22)</f>
        <v>296</v>
      </c>
      <c r="AB23" s="6">
        <v>0</v>
      </c>
    </row>
    <row r="24" spans="1:28" ht="12.75" x14ac:dyDescent="0.2">
      <c r="AA24" s="11"/>
      <c r="AB24" s="18"/>
    </row>
    <row r="25" spans="1:28" ht="12.75" x14ac:dyDescent="0.2">
      <c r="F25" s="24" t="s">
        <v>66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3"/>
      <c r="AA25" s="11"/>
      <c r="AB25" s="18"/>
    </row>
    <row r="26" spans="1:28" ht="12.75" x14ac:dyDescent="0.2">
      <c r="F26" s="21" t="s">
        <v>67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3"/>
      <c r="AA26" s="11"/>
      <c r="AB26" s="18"/>
    </row>
    <row r="27" spans="1:28" ht="12.75" x14ac:dyDescent="0.2">
      <c r="F27" s="24" t="s">
        <v>68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3"/>
    </row>
    <row r="28" spans="1:28" ht="12.75" x14ac:dyDescent="0.2">
      <c r="F28" s="25" t="s">
        <v>69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3"/>
      <c r="X28" s="12"/>
      <c r="Y28" s="12"/>
      <c r="Z28" s="12"/>
      <c r="AA28" s="12"/>
      <c r="AB28" s="12"/>
    </row>
    <row r="29" spans="1:28" ht="12.75" x14ac:dyDescent="0.2">
      <c r="F29" s="26" t="s">
        <v>70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8"/>
    </row>
    <row r="30" spans="1:28" ht="12.75" x14ac:dyDescent="0.2">
      <c r="F30" s="29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1"/>
    </row>
    <row r="31" spans="1:28" ht="15.75" customHeight="1" x14ac:dyDescent="0.2">
      <c r="A31" s="13"/>
      <c r="B31" s="13"/>
      <c r="C31" s="13"/>
      <c r="D31" s="13"/>
      <c r="E31" s="13"/>
      <c r="F31" s="13"/>
      <c r="G31" s="13"/>
      <c r="H31" s="13"/>
    </row>
    <row r="32" spans="1:28" ht="12.75" x14ac:dyDescent="0.2">
      <c r="A32" s="14"/>
      <c r="B32" s="14"/>
      <c r="C32" s="14"/>
      <c r="D32" s="14"/>
      <c r="E32" s="14"/>
      <c r="F32" s="14"/>
      <c r="G32" s="14"/>
      <c r="H32" s="14"/>
    </row>
    <row r="33" spans="1:8" ht="12.75" x14ac:dyDescent="0.2">
      <c r="A33" s="14"/>
      <c r="B33" s="14"/>
      <c r="C33" s="14"/>
      <c r="D33" s="14"/>
      <c r="E33" s="14"/>
      <c r="F33" s="14"/>
      <c r="G33" s="14"/>
      <c r="H33" s="14"/>
    </row>
    <row r="34" spans="1:8" ht="12.75" x14ac:dyDescent="0.2">
      <c r="A34" s="14"/>
      <c r="B34" s="14"/>
      <c r="C34" s="14"/>
      <c r="D34" s="14"/>
      <c r="E34" s="14"/>
      <c r="F34" s="14"/>
      <c r="G34" s="14"/>
      <c r="H34" s="14"/>
    </row>
    <row r="35" spans="1:8" ht="12.75" x14ac:dyDescent="0.2">
      <c r="A35" s="14"/>
      <c r="B35" s="14"/>
      <c r="C35" s="14"/>
      <c r="D35" s="14"/>
      <c r="E35" s="14"/>
      <c r="F35" s="14"/>
      <c r="G35" s="14"/>
      <c r="H35" s="14"/>
    </row>
    <row r="36" spans="1:8" ht="12.75" x14ac:dyDescent="0.2">
      <c r="A36" s="14"/>
      <c r="B36" s="14"/>
      <c r="C36" s="14"/>
      <c r="D36" s="14"/>
      <c r="E36" s="14"/>
      <c r="F36" s="14"/>
      <c r="G36" s="14"/>
      <c r="H36" s="14"/>
    </row>
    <row r="37" spans="1:8" ht="12.75" x14ac:dyDescent="0.2">
      <c r="A37" s="14"/>
      <c r="B37" s="14"/>
      <c r="C37" s="14"/>
      <c r="D37" s="14"/>
      <c r="E37" s="14"/>
      <c r="F37" s="14"/>
      <c r="G37" s="14"/>
      <c r="H37" s="14"/>
    </row>
    <row r="38" spans="1:8" ht="12.75" x14ac:dyDescent="0.2">
      <c r="A38" s="14"/>
      <c r="B38" s="14"/>
      <c r="C38" s="14"/>
      <c r="D38" s="14"/>
      <c r="E38" s="14"/>
      <c r="F38" s="14"/>
      <c r="G38" s="14"/>
      <c r="H38" s="14"/>
    </row>
    <row r="39" spans="1:8" ht="12.75" x14ac:dyDescent="0.2">
      <c r="A39" s="14"/>
      <c r="B39" s="14"/>
      <c r="C39" s="14"/>
      <c r="D39" s="14"/>
      <c r="E39" s="14"/>
      <c r="F39" s="14"/>
      <c r="G39" s="14"/>
      <c r="H39" s="14"/>
    </row>
    <row r="40" spans="1:8" ht="12.75" x14ac:dyDescent="0.2">
      <c r="A40" s="14"/>
      <c r="B40" s="14"/>
      <c r="C40" s="14"/>
      <c r="D40" s="14"/>
      <c r="E40" s="14"/>
      <c r="F40" s="14"/>
      <c r="G40" s="14"/>
      <c r="H40" s="14"/>
    </row>
  </sheetData>
  <mergeCells count="29">
    <mergeCell ref="A1:A2"/>
    <mergeCell ref="B1:B2"/>
    <mergeCell ref="C1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F26:W26"/>
    <mergeCell ref="F27:W27"/>
    <mergeCell ref="F28:W28"/>
    <mergeCell ref="F29:W30"/>
    <mergeCell ref="C20:D20"/>
    <mergeCell ref="C21:D21"/>
    <mergeCell ref="C22:D22"/>
    <mergeCell ref="C23:D23"/>
    <mergeCell ref="F25:W25"/>
  </mergeCells>
  <conditionalFormatting sqref="H3:AB23">
    <cfRule type="colorScale" priority="1">
      <colorScale>
        <cfvo type="formula" val="0"/>
        <cfvo type="percent" val="20"/>
        <cfvo type="formula" val="10000"/>
        <color rgb="FFD9EAD3"/>
        <color rgb="FF93C47D"/>
        <color rgb="FF38761D"/>
      </colorScale>
    </cfRule>
  </conditionalFormatting>
  <hyperlinks>
    <hyperlink ref="F2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1AE8-7731-4B17-A9D9-8387D639B48D}">
  <dimension ref="A1:X22"/>
  <sheetViews>
    <sheetView tabSelected="1" workbookViewId="0">
      <selection activeCell="X21" sqref="X21"/>
    </sheetView>
  </sheetViews>
  <sheetFormatPr defaultRowHeight="12.75" x14ac:dyDescent="0.2"/>
  <cols>
    <col min="1" max="22" width="4.7109375" customWidth="1"/>
  </cols>
  <sheetData>
    <row r="1" spans="1:22" x14ac:dyDescent="0.2">
      <c r="A1" s="36"/>
      <c r="B1" s="36" t="s">
        <v>24</v>
      </c>
      <c r="C1" s="36" t="s">
        <v>25</v>
      </c>
      <c r="D1" s="36" t="s">
        <v>26</v>
      </c>
      <c r="E1" s="36" t="s">
        <v>27</v>
      </c>
      <c r="F1" s="36" t="s">
        <v>28</v>
      </c>
      <c r="G1" s="36" t="s">
        <v>29</v>
      </c>
      <c r="H1" s="36" t="s">
        <v>30</v>
      </c>
      <c r="I1" s="36" t="s">
        <v>31</v>
      </c>
      <c r="J1" s="36" t="s">
        <v>32</v>
      </c>
      <c r="K1" s="36" t="s">
        <v>33</v>
      </c>
      <c r="L1" s="36" t="s">
        <v>34</v>
      </c>
      <c r="M1" s="36" t="s">
        <v>35</v>
      </c>
      <c r="N1" s="36" t="s">
        <v>36</v>
      </c>
      <c r="O1" s="36" t="s">
        <v>37</v>
      </c>
      <c r="P1" s="36" t="s">
        <v>38</v>
      </c>
      <c r="Q1" s="36" t="s">
        <v>39</v>
      </c>
      <c r="R1" s="36" t="s">
        <v>40</v>
      </c>
      <c r="S1" s="36" t="s">
        <v>41</v>
      </c>
      <c r="T1" s="36" t="s">
        <v>42</v>
      </c>
      <c r="U1" s="36" t="s">
        <v>43</v>
      </c>
      <c r="V1" s="36" t="s">
        <v>44</v>
      </c>
    </row>
    <row r="2" spans="1:22" x14ac:dyDescent="0.2">
      <c r="A2" s="36" t="s">
        <v>24</v>
      </c>
      <c r="B2" s="20">
        <v>20</v>
      </c>
      <c r="C2" s="19">
        <v>-1</v>
      </c>
      <c r="D2" s="19">
        <v>-1</v>
      </c>
      <c r="E2" s="19">
        <v>-1</v>
      </c>
      <c r="F2" s="19">
        <v>-1</v>
      </c>
      <c r="G2" s="19">
        <v>-1</v>
      </c>
      <c r="H2" s="19">
        <v>-1</v>
      </c>
      <c r="I2" s="19">
        <v>-1</v>
      </c>
      <c r="J2" s="19">
        <v>-1</v>
      </c>
      <c r="K2" s="19">
        <v>-1</v>
      </c>
      <c r="L2" s="19">
        <v>-1</v>
      </c>
      <c r="M2" s="19">
        <v>-1</v>
      </c>
      <c r="N2" s="19">
        <v>-1</v>
      </c>
      <c r="O2" s="19">
        <v>-1</v>
      </c>
      <c r="P2" s="19">
        <v>-1</v>
      </c>
      <c r="Q2" s="19">
        <v>-1</v>
      </c>
      <c r="R2" s="19">
        <v>-1</v>
      </c>
      <c r="S2" s="19">
        <v>-1</v>
      </c>
      <c r="T2" s="19">
        <v>-1</v>
      </c>
      <c r="U2" s="19">
        <v>-1</v>
      </c>
      <c r="V2" s="19">
        <v>-1</v>
      </c>
    </row>
    <row r="3" spans="1:22" x14ac:dyDescent="0.2">
      <c r="A3" s="36" t="s">
        <v>25</v>
      </c>
      <c r="B3" s="19">
        <v>-1</v>
      </c>
      <c r="C3" s="20">
        <v>20</v>
      </c>
      <c r="D3" s="19">
        <v>-1</v>
      </c>
      <c r="E3" s="19">
        <v>-1</v>
      </c>
      <c r="F3" s="19">
        <v>-1</v>
      </c>
      <c r="G3" s="19">
        <v>-1</v>
      </c>
      <c r="H3" s="19">
        <v>-1</v>
      </c>
      <c r="I3" s="19">
        <v>-1</v>
      </c>
      <c r="J3" s="19">
        <v>-1</v>
      </c>
      <c r="K3" s="19">
        <v>-1</v>
      </c>
      <c r="L3" s="19">
        <v>-1</v>
      </c>
      <c r="M3" s="19">
        <v>-1</v>
      </c>
      <c r="N3" s="19">
        <v>-1</v>
      </c>
      <c r="O3" s="19">
        <v>-1</v>
      </c>
      <c r="P3" s="19">
        <v>-1</v>
      </c>
      <c r="Q3" s="19">
        <v>-1</v>
      </c>
      <c r="R3" s="19">
        <v>-1</v>
      </c>
      <c r="S3" s="19">
        <v>-1</v>
      </c>
      <c r="T3" s="19">
        <v>-1</v>
      </c>
      <c r="U3" s="19">
        <v>-1</v>
      </c>
      <c r="V3" s="19">
        <v>-1</v>
      </c>
    </row>
    <row r="4" spans="1:22" x14ac:dyDescent="0.2">
      <c r="A4" s="36" t="s">
        <v>26</v>
      </c>
      <c r="B4" s="19">
        <v>-1</v>
      </c>
      <c r="C4" s="19">
        <v>-1</v>
      </c>
      <c r="D4" s="20">
        <v>20</v>
      </c>
      <c r="E4" s="19">
        <v>-1</v>
      </c>
      <c r="F4" s="19">
        <v>-1</v>
      </c>
      <c r="G4" s="19">
        <v>-1</v>
      </c>
      <c r="H4" s="19">
        <v>-1</v>
      </c>
      <c r="I4" s="19">
        <v>-1</v>
      </c>
      <c r="J4" s="19">
        <v>-1</v>
      </c>
      <c r="K4" s="19">
        <v>-1</v>
      </c>
      <c r="L4" s="19">
        <v>-1</v>
      </c>
      <c r="M4" s="19">
        <v>-1</v>
      </c>
      <c r="N4" s="19">
        <v>-1</v>
      </c>
      <c r="O4" s="19">
        <v>-1</v>
      </c>
      <c r="P4" s="19">
        <v>-1</v>
      </c>
      <c r="Q4" s="19">
        <v>-1</v>
      </c>
      <c r="R4" s="19">
        <v>-1</v>
      </c>
      <c r="S4" s="19">
        <v>-1</v>
      </c>
      <c r="T4" s="19">
        <v>-1</v>
      </c>
      <c r="U4" s="19">
        <v>-1</v>
      </c>
      <c r="V4" s="19">
        <v>-1</v>
      </c>
    </row>
    <row r="5" spans="1:22" x14ac:dyDescent="0.2">
      <c r="A5" s="36" t="s">
        <v>27</v>
      </c>
      <c r="B5" s="19">
        <v>-1</v>
      </c>
      <c r="C5" s="19">
        <v>-1</v>
      </c>
      <c r="D5" s="19">
        <v>-1</v>
      </c>
      <c r="E5" s="20">
        <v>20</v>
      </c>
      <c r="F5" s="19">
        <v>-1</v>
      </c>
      <c r="G5" s="19">
        <v>-1</v>
      </c>
      <c r="H5" s="19">
        <v>-1</v>
      </c>
      <c r="I5" s="19">
        <v>-1</v>
      </c>
      <c r="J5" s="19">
        <v>-1</v>
      </c>
      <c r="K5" s="19">
        <v>-1</v>
      </c>
      <c r="L5" s="19">
        <v>-1</v>
      </c>
      <c r="M5" s="19">
        <v>-1</v>
      </c>
      <c r="N5" s="19">
        <v>-1</v>
      </c>
      <c r="O5" s="19">
        <v>-1</v>
      </c>
      <c r="P5" s="19">
        <v>-1</v>
      </c>
      <c r="Q5" s="19">
        <v>-1</v>
      </c>
      <c r="R5" s="19">
        <v>-1</v>
      </c>
      <c r="S5" s="19">
        <v>-1</v>
      </c>
      <c r="T5" s="19">
        <v>-1</v>
      </c>
      <c r="U5" s="19">
        <v>-1</v>
      </c>
      <c r="V5" s="19">
        <v>-1</v>
      </c>
    </row>
    <row r="6" spans="1:22" x14ac:dyDescent="0.2">
      <c r="A6" s="36" t="s">
        <v>28</v>
      </c>
      <c r="B6" s="19">
        <v>-1</v>
      </c>
      <c r="C6" s="19">
        <v>-1</v>
      </c>
      <c r="D6" s="19">
        <v>-1</v>
      </c>
      <c r="E6" s="19">
        <v>-1</v>
      </c>
      <c r="F6" s="20">
        <v>20</v>
      </c>
      <c r="G6" s="19">
        <v>-1</v>
      </c>
      <c r="H6" s="19">
        <v>-1</v>
      </c>
      <c r="I6" s="19">
        <v>-1</v>
      </c>
      <c r="J6" s="19">
        <v>-1</v>
      </c>
      <c r="K6" s="19">
        <v>-1</v>
      </c>
      <c r="L6" s="19">
        <v>-1</v>
      </c>
      <c r="M6" s="19">
        <v>-1</v>
      </c>
      <c r="N6" s="19">
        <v>-1</v>
      </c>
      <c r="O6" s="19">
        <v>-1</v>
      </c>
      <c r="P6" s="19">
        <v>-1</v>
      </c>
      <c r="Q6" s="19">
        <v>-1</v>
      </c>
      <c r="R6" s="19">
        <v>-1</v>
      </c>
      <c r="S6" s="19">
        <v>-1</v>
      </c>
      <c r="T6" s="19">
        <v>-1</v>
      </c>
      <c r="U6" s="19">
        <v>-1</v>
      </c>
      <c r="V6" s="19">
        <v>-1</v>
      </c>
    </row>
    <row r="7" spans="1:22" x14ac:dyDescent="0.2">
      <c r="A7" s="36" t="s">
        <v>29</v>
      </c>
      <c r="B7" s="19">
        <v>-1</v>
      </c>
      <c r="C7" s="19">
        <v>-1</v>
      </c>
      <c r="D7" s="19">
        <v>-1</v>
      </c>
      <c r="E7" s="19">
        <v>-1</v>
      </c>
      <c r="F7" s="19">
        <v>-1</v>
      </c>
      <c r="G7" s="20">
        <v>20</v>
      </c>
      <c r="H7" s="19">
        <v>-1</v>
      </c>
      <c r="I7" s="19">
        <v>-1</v>
      </c>
      <c r="J7" s="19">
        <v>-1</v>
      </c>
      <c r="K7" s="19">
        <v>-1</v>
      </c>
      <c r="L7" s="19">
        <v>-1</v>
      </c>
      <c r="M7" s="19">
        <v>-1</v>
      </c>
      <c r="N7" s="19">
        <v>-1</v>
      </c>
      <c r="O7" s="19">
        <v>-1</v>
      </c>
      <c r="P7" s="19">
        <v>-1</v>
      </c>
      <c r="Q7" s="19">
        <v>-1</v>
      </c>
      <c r="R7" s="19">
        <v>-1</v>
      </c>
      <c r="S7" s="19">
        <v>-1</v>
      </c>
      <c r="T7" s="19">
        <v>-1</v>
      </c>
      <c r="U7" s="19">
        <v>-1</v>
      </c>
      <c r="V7" s="19">
        <v>-1</v>
      </c>
    </row>
    <row r="8" spans="1:22" x14ac:dyDescent="0.2">
      <c r="A8" s="36" t="s">
        <v>30</v>
      </c>
      <c r="B8" s="19">
        <v>-1</v>
      </c>
      <c r="C8" s="19">
        <v>-1</v>
      </c>
      <c r="D8" s="19">
        <v>-1</v>
      </c>
      <c r="E8" s="19">
        <v>-1</v>
      </c>
      <c r="F8" s="19">
        <v>-1</v>
      </c>
      <c r="G8" s="19">
        <v>-1</v>
      </c>
      <c r="H8" s="20">
        <v>20</v>
      </c>
      <c r="I8" s="19">
        <v>-1</v>
      </c>
      <c r="J8" s="19">
        <v>-1</v>
      </c>
      <c r="K8" s="19">
        <v>-1</v>
      </c>
      <c r="L8" s="19">
        <v>-1</v>
      </c>
      <c r="M8" s="19">
        <v>-1</v>
      </c>
      <c r="N8" s="19">
        <v>-1</v>
      </c>
      <c r="O8" s="19">
        <v>-1</v>
      </c>
      <c r="P8" s="19">
        <v>-1</v>
      </c>
      <c r="Q8" s="19">
        <v>-1</v>
      </c>
      <c r="R8" s="19">
        <v>-1</v>
      </c>
      <c r="S8" s="19">
        <v>-1</v>
      </c>
      <c r="T8" s="19">
        <v>-1</v>
      </c>
      <c r="U8" s="19">
        <v>-1</v>
      </c>
      <c r="V8" s="19">
        <v>-1</v>
      </c>
    </row>
    <row r="9" spans="1:22" x14ac:dyDescent="0.2">
      <c r="A9" s="36" t="s">
        <v>31</v>
      </c>
      <c r="B9" s="19">
        <v>-1</v>
      </c>
      <c r="C9" s="19">
        <v>-1</v>
      </c>
      <c r="D9" s="19">
        <v>-1</v>
      </c>
      <c r="E9" s="19">
        <v>-1</v>
      </c>
      <c r="F9" s="19">
        <v>-1</v>
      </c>
      <c r="G9" s="19">
        <v>-1</v>
      </c>
      <c r="H9" s="19">
        <v>-1</v>
      </c>
      <c r="I9" s="20">
        <v>20</v>
      </c>
      <c r="J9" s="19">
        <v>-1</v>
      </c>
      <c r="K9" s="19">
        <v>-1</v>
      </c>
      <c r="L9" s="19">
        <v>-1</v>
      </c>
      <c r="M9" s="19">
        <v>-1</v>
      </c>
      <c r="N9" s="19">
        <v>-1</v>
      </c>
      <c r="O9" s="19">
        <v>-1</v>
      </c>
      <c r="P9" s="19">
        <v>-1</v>
      </c>
      <c r="Q9" s="19">
        <v>-1</v>
      </c>
      <c r="R9" s="19">
        <v>-1</v>
      </c>
      <c r="S9" s="19">
        <v>-1</v>
      </c>
      <c r="T9" s="19">
        <v>-1</v>
      </c>
      <c r="U9" s="19">
        <v>-1</v>
      </c>
      <c r="V9" s="19">
        <v>-1</v>
      </c>
    </row>
    <row r="10" spans="1:22" x14ac:dyDescent="0.2">
      <c r="A10" s="36" t="s">
        <v>32</v>
      </c>
      <c r="B10" s="19">
        <v>-1</v>
      </c>
      <c r="C10" s="19">
        <v>-1</v>
      </c>
      <c r="D10" s="19">
        <v>-1</v>
      </c>
      <c r="E10" s="19">
        <v>-1</v>
      </c>
      <c r="F10" s="19">
        <v>-1</v>
      </c>
      <c r="G10" s="19">
        <v>-1</v>
      </c>
      <c r="H10" s="19">
        <v>-1</v>
      </c>
      <c r="I10" s="19">
        <v>-1</v>
      </c>
      <c r="J10" s="20">
        <v>20</v>
      </c>
      <c r="K10" s="19">
        <v>-1</v>
      </c>
      <c r="L10" s="19">
        <v>-1</v>
      </c>
      <c r="M10" s="19">
        <v>-1</v>
      </c>
      <c r="N10" s="19">
        <v>-1</v>
      </c>
      <c r="O10" s="19">
        <v>-1</v>
      </c>
      <c r="P10" s="19">
        <v>-1</v>
      </c>
      <c r="Q10" s="19">
        <v>-1</v>
      </c>
      <c r="R10" s="19">
        <v>-1</v>
      </c>
      <c r="S10" s="19">
        <v>-1</v>
      </c>
      <c r="T10" s="19">
        <v>-1</v>
      </c>
      <c r="U10" s="19">
        <v>-1</v>
      </c>
      <c r="V10" s="19">
        <v>-1</v>
      </c>
    </row>
    <row r="11" spans="1:22" x14ac:dyDescent="0.2">
      <c r="A11" s="36" t="s">
        <v>33</v>
      </c>
      <c r="B11" s="19">
        <v>-1</v>
      </c>
      <c r="C11" s="19">
        <v>-1</v>
      </c>
      <c r="D11" s="19">
        <v>-1</v>
      </c>
      <c r="E11" s="19">
        <v>-1</v>
      </c>
      <c r="F11" s="19">
        <v>-1</v>
      </c>
      <c r="G11" s="19">
        <v>-1</v>
      </c>
      <c r="H11" s="19">
        <v>-1</v>
      </c>
      <c r="I11" s="19">
        <v>-1</v>
      </c>
      <c r="J11" s="19">
        <v>-1</v>
      </c>
      <c r="K11" s="20">
        <v>20</v>
      </c>
      <c r="L11" s="19">
        <v>-1</v>
      </c>
      <c r="M11" s="19">
        <v>-1</v>
      </c>
      <c r="N11" s="19">
        <v>-1</v>
      </c>
      <c r="O11" s="19">
        <v>-1</v>
      </c>
      <c r="P11" s="19">
        <v>-1</v>
      </c>
      <c r="Q11" s="19">
        <v>-1</v>
      </c>
      <c r="R11" s="19">
        <v>-1</v>
      </c>
      <c r="S11" s="19">
        <v>-1</v>
      </c>
      <c r="T11" s="19">
        <v>-1</v>
      </c>
      <c r="U11" s="19">
        <v>-1</v>
      </c>
      <c r="V11" s="19">
        <v>-1</v>
      </c>
    </row>
    <row r="12" spans="1:22" x14ac:dyDescent="0.2">
      <c r="A12" s="36" t="s">
        <v>34</v>
      </c>
      <c r="B12" s="19">
        <v>-1</v>
      </c>
      <c r="C12" s="19">
        <v>-1</v>
      </c>
      <c r="D12" s="19">
        <v>-1</v>
      </c>
      <c r="E12" s="19">
        <v>-1</v>
      </c>
      <c r="F12" s="19">
        <v>-1</v>
      </c>
      <c r="G12" s="19">
        <v>-1</v>
      </c>
      <c r="H12" s="19">
        <v>-1</v>
      </c>
      <c r="I12" s="19">
        <v>-1</v>
      </c>
      <c r="J12" s="19">
        <v>-1</v>
      </c>
      <c r="K12" s="19">
        <v>-1</v>
      </c>
      <c r="L12" s="20">
        <v>20</v>
      </c>
      <c r="M12" s="19">
        <v>-1</v>
      </c>
      <c r="N12" s="19">
        <v>-1</v>
      </c>
      <c r="O12" s="19">
        <v>-1</v>
      </c>
      <c r="P12" s="19">
        <v>-1</v>
      </c>
      <c r="Q12" s="19">
        <v>-1</v>
      </c>
      <c r="R12" s="19">
        <v>-1</v>
      </c>
      <c r="S12" s="19">
        <v>-1</v>
      </c>
      <c r="T12" s="19">
        <v>-1</v>
      </c>
      <c r="U12" s="19">
        <v>-1</v>
      </c>
      <c r="V12" s="19">
        <v>-1</v>
      </c>
    </row>
    <row r="13" spans="1:22" x14ac:dyDescent="0.2">
      <c r="A13" s="36" t="s">
        <v>35</v>
      </c>
      <c r="B13" s="19">
        <v>-1</v>
      </c>
      <c r="C13" s="19">
        <v>-1</v>
      </c>
      <c r="D13" s="19">
        <v>-1</v>
      </c>
      <c r="E13" s="19">
        <v>-1</v>
      </c>
      <c r="F13" s="19">
        <v>-1</v>
      </c>
      <c r="G13" s="19">
        <v>-1</v>
      </c>
      <c r="H13" s="19">
        <v>-1</v>
      </c>
      <c r="I13" s="19">
        <v>-1</v>
      </c>
      <c r="J13" s="19">
        <v>-1</v>
      </c>
      <c r="K13" s="19">
        <v>-1</v>
      </c>
      <c r="L13" s="19">
        <v>-1</v>
      </c>
      <c r="M13" s="20">
        <v>20</v>
      </c>
      <c r="N13" s="19">
        <v>-1</v>
      </c>
      <c r="O13" s="19">
        <v>-1</v>
      </c>
      <c r="P13" s="19">
        <v>-1</v>
      </c>
      <c r="Q13" s="19">
        <v>-1</v>
      </c>
      <c r="R13" s="19">
        <v>-1</v>
      </c>
      <c r="S13" s="19">
        <v>-1</v>
      </c>
      <c r="T13" s="19">
        <v>-1</v>
      </c>
      <c r="U13" s="19">
        <v>-1</v>
      </c>
      <c r="V13" s="19">
        <v>-1</v>
      </c>
    </row>
    <row r="14" spans="1:22" x14ac:dyDescent="0.2">
      <c r="A14" s="36" t="s">
        <v>36</v>
      </c>
      <c r="B14" s="19">
        <v>-1</v>
      </c>
      <c r="C14" s="19">
        <v>-1</v>
      </c>
      <c r="D14" s="19">
        <v>-1</v>
      </c>
      <c r="E14" s="19">
        <v>-1</v>
      </c>
      <c r="F14" s="19">
        <v>-1</v>
      </c>
      <c r="G14" s="19">
        <v>-1</v>
      </c>
      <c r="H14" s="19">
        <v>-1</v>
      </c>
      <c r="I14" s="19">
        <v>-1</v>
      </c>
      <c r="J14" s="19">
        <v>-1</v>
      </c>
      <c r="K14" s="19">
        <v>-1</v>
      </c>
      <c r="L14" s="19">
        <v>-1</v>
      </c>
      <c r="M14" s="19">
        <v>-1</v>
      </c>
      <c r="N14" s="20">
        <v>20</v>
      </c>
      <c r="O14" s="19">
        <v>-1</v>
      </c>
      <c r="P14" s="19">
        <v>-1</v>
      </c>
      <c r="Q14" s="19">
        <v>-1</v>
      </c>
      <c r="R14" s="19">
        <v>-1</v>
      </c>
      <c r="S14" s="19">
        <v>-1</v>
      </c>
      <c r="T14" s="19">
        <v>-1</v>
      </c>
      <c r="U14" s="19">
        <v>-1</v>
      </c>
      <c r="V14" s="19">
        <v>-1</v>
      </c>
    </row>
    <row r="15" spans="1:22" x14ac:dyDescent="0.2">
      <c r="A15" s="36" t="s">
        <v>37</v>
      </c>
      <c r="B15" s="19">
        <v>-1</v>
      </c>
      <c r="C15" s="19">
        <v>-1</v>
      </c>
      <c r="D15" s="19">
        <v>-1</v>
      </c>
      <c r="E15" s="19">
        <v>-1</v>
      </c>
      <c r="F15" s="19">
        <v>-1</v>
      </c>
      <c r="G15" s="19">
        <v>-1</v>
      </c>
      <c r="H15" s="19">
        <v>-1</v>
      </c>
      <c r="I15" s="19">
        <v>-1</v>
      </c>
      <c r="J15" s="19">
        <v>-1</v>
      </c>
      <c r="K15" s="19">
        <v>-1</v>
      </c>
      <c r="L15" s="19">
        <v>-1</v>
      </c>
      <c r="M15" s="19">
        <v>-1</v>
      </c>
      <c r="N15" s="19">
        <v>-1</v>
      </c>
      <c r="O15" s="20">
        <v>20</v>
      </c>
      <c r="P15" s="19">
        <v>-1</v>
      </c>
      <c r="Q15" s="19">
        <v>-1</v>
      </c>
      <c r="R15" s="19">
        <v>-1</v>
      </c>
      <c r="S15" s="19">
        <v>-1</v>
      </c>
      <c r="T15" s="19">
        <v>-1</v>
      </c>
      <c r="U15" s="19">
        <v>-1</v>
      </c>
      <c r="V15" s="19">
        <v>-1</v>
      </c>
    </row>
    <row r="16" spans="1:22" x14ac:dyDescent="0.2">
      <c r="A16" s="36" t="s">
        <v>38</v>
      </c>
      <c r="B16" s="19">
        <v>-1</v>
      </c>
      <c r="C16" s="19">
        <v>-1</v>
      </c>
      <c r="D16" s="19">
        <v>-1</v>
      </c>
      <c r="E16" s="19">
        <v>-1</v>
      </c>
      <c r="F16" s="19">
        <v>-1</v>
      </c>
      <c r="G16" s="19">
        <v>-1</v>
      </c>
      <c r="H16" s="19">
        <v>-1</v>
      </c>
      <c r="I16" s="19">
        <v>-1</v>
      </c>
      <c r="J16" s="19">
        <v>-1</v>
      </c>
      <c r="K16" s="19">
        <v>-1</v>
      </c>
      <c r="L16" s="19">
        <v>-1</v>
      </c>
      <c r="M16" s="19">
        <v>-1</v>
      </c>
      <c r="N16" s="19">
        <v>-1</v>
      </c>
      <c r="O16" s="19">
        <v>-1</v>
      </c>
      <c r="P16" s="20">
        <v>20</v>
      </c>
      <c r="Q16" s="19">
        <v>-1</v>
      </c>
      <c r="R16" s="19">
        <v>-1</v>
      </c>
      <c r="S16" s="19">
        <v>-1</v>
      </c>
      <c r="T16" s="19">
        <v>-1</v>
      </c>
      <c r="U16" s="19">
        <v>-1</v>
      </c>
      <c r="V16" s="19">
        <v>-1</v>
      </c>
    </row>
    <row r="17" spans="1:24" x14ac:dyDescent="0.2">
      <c r="A17" s="36" t="s">
        <v>39</v>
      </c>
      <c r="B17" s="19">
        <v>-1</v>
      </c>
      <c r="C17" s="19">
        <v>-1</v>
      </c>
      <c r="D17" s="19">
        <v>-1</v>
      </c>
      <c r="E17" s="19">
        <v>-1</v>
      </c>
      <c r="F17" s="19">
        <v>-1</v>
      </c>
      <c r="G17" s="19">
        <v>-1</v>
      </c>
      <c r="H17" s="19">
        <v>-1</v>
      </c>
      <c r="I17" s="19">
        <v>-1</v>
      </c>
      <c r="J17" s="19">
        <v>-1</v>
      </c>
      <c r="K17" s="19">
        <v>-1</v>
      </c>
      <c r="L17" s="19">
        <v>-1</v>
      </c>
      <c r="M17" s="19">
        <v>-1</v>
      </c>
      <c r="N17" s="19">
        <v>-1</v>
      </c>
      <c r="O17" s="19">
        <v>-1</v>
      </c>
      <c r="P17" s="19">
        <v>-1</v>
      </c>
      <c r="Q17" s="20">
        <v>20</v>
      </c>
      <c r="R17" s="19">
        <v>-1</v>
      </c>
      <c r="S17" s="19">
        <v>-1</v>
      </c>
      <c r="T17" s="19">
        <v>-1</v>
      </c>
      <c r="U17" s="19">
        <v>-1</v>
      </c>
      <c r="V17" s="19">
        <v>-1</v>
      </c>
    </row>
    <row r="18" spans="1:24" x14ac:dyDescent="0.2">
      <c r="A18" s="36" t="s">
        <v>40</v>
      </c>
      <c r="B18" s="19">
        <v>-1</v>
      </c>
      <c r="C18" s="19">
        <v>-1</v>
      </c>
      <c r="D18" s="19">
        <v>-1</v>
      </c>
      <c r="E18" s="19">
        <v>-1</v>
      </c>
      <c r="F18" s="19">
        <v>-1</v>
      </c>
      <c r="G18" s="19">
        <v>-1</v>
      </c>
      <c r="H18" s="19">
        <v>-1</v>
      </c>
      <c r="I18" s="19">
        <v>-1</v>
      </c>
      <c r="J18" s="19">
        <v>-1</v>
      </c>
      <c r="K18" s="19">
        <v>-1</v>
      </c>
      <c r="L18" s="19">
        <v>-1</v>
      </c>
      <c r="M18" s="19">
        <v>-1</v>
      </c>
      <c r="N18" s="19">
        <v>-1</v>
      </c>
      <c r="O18" s="19">
        <v>-1</v>
      </c>
      <c r="P18" s="19">
        <v>-1</v>
      </c>
      <c r="Q18" s="19">
        <v>-1</v>
      </c>
      <c r="R18" s="20">
        <v>20</v>
      </c>
      <c r="S18" s="19">
        <v>-1</v>
      </c>
      <c r="T18" s="19">
        <v>-1</v>
      </c>
      <c r="U18" s="19">
        <v>-1</v>
      </c>
      <c r="V18" s="19">
        <v>-1</v>
      </c>
    </row>
    <row r="19" spans="1:24" x14ac:dyDescent="0.2">
      <c r="A19" s="36" t="s">
        <v>41</v>
      </c>
      <c r="B19" s="19">
        <v>-1</v>
      </c>
      <c r="C19" s="19">
        <v>-1</v>
      </c>
      <c r="D19" s="19">
        <v>-1</v>
      </c>
      <c r="E19" s="19">
        <v>-1</v>
      </c>
      <c r="F19" s="19">
        <v>-1</v>
      </c>
      <c r="G19" s="19">
        <v>-1</v>
      </c>
      <c r="H19" s="19">
        <v>-1</v>
      </c>
      <c r="I19" s="19">
        <v>-1</v>
      </c>
      <c r="J19" s="19">
        <v>-1</v>
      </c>
      <c r="K19" s="19">
        <v>-1</v>
      </c>
      <c r="L19" s="19">
        <v>-1</v>
      </c>
      <c r="M19" s="19">
        <v>-1</v>
      </c>
      <c r="N19" s="19">
        <v>-1</v>
      </c>
      <c r="O19" s="19">
        <v>-1</v>
      </c>
      <c r="P19" s="19">
        <v>-1</v>
      </c>
      <c r="Q19" s="19">
        <v>-1</v>
      </c>
      <c r="R19" s="19">
        <v>-1</v>
      </c>
      <c r="S19" s="20">
        <v>20</v>
      </c>
      <c r="T19" s="19">
        <v>-1</v>
      </c>
      <c r="U19" s="19">
        <v>-1</v>
      </c>
      <c r="V19" s="19">
        <v>-1</v>
      </c>
    </row>
    <row r="20" spans="1:24" x14ac:dyDescent="0.2">
      <c r="A20" s="36" t="s">
        <v>42</v>
      </c>
      <c r="B20" s="19">
        <v>-1</v>
      </c>
      <c r="C20" s="19">
        <v>-1</v>
      </c>
      <c r="D20" s="19">
        <v>-1</v>
      </c>
      <c r="E20" s="19">
        <v>-1</v>
      </c>
      <c r="F20" s="19">
        <v>-1</v>
      </c>
      <c r="G20" s="19">
        <v>-1</v>
      </c>
      <c r="H20" s="19">
        <v>-1</v>
      </c>
      <c r="I20" s="19">
        <v>-1</v>
      </c>
      <c r="J20" s="19">
        <v>-1</v>
      </c>
      <c r="K20" s="19">
        <v>-1</v>
      </c>
      <c r="L20" s="19">
        <v>-1</v>
      </c>
      <c r="M20" s="19">
        <v>-1</v>
      </c>
      <c r="N20" s="19">
        <v>-1</v>
      </c>
      <c r="O20" s="19">
        <v>-1</v>
      </c>
      <c r="P20" s="19">
        <v>-1</v>
      </c>
      <c r="Q20" s="19">
        <v>-1</v>
      </c>
      <c r="R20" s="19">
        <v>-1</v>
      </c>
      <c r="S20" s="19">
        <v>-1</v>
      </c>
      <c r="T20" s="20">
        <v>20</v>
      </c>
      <c r="U20" s="19">
        <v>-1</v>
      </c>
      <c r="V20" s="19">
        <v>-1</v>
      </c>
    </row>
    <row r="21" spans="1:24" x14ac:dyDescent="0.2">
      <c r="A21" s="36" t="s">
        <v>43</v>
      </c>
      <c r="B21" s="19">
        <v>-1</v>
      </c>
      <c r="C21" s="19">
        <v>-1</v>
      </c>
      <c r="D21" s="19">
        <v>-1</v>
      </c>
      <c r="E21" s="19">
        <v>-1</v>
      </c>
      <c r="F21" s="19">
        <v>-1</v>
      </c>
      <c r="G21" s="19">
        <v>-1</v>
      </c>
      <c r="H21" s="19">
        <v>-1</v>
      </c>
      <c r="I21" s="19">
        <v>-1</v>
      </c>
      <c r="J21" s="19">
        <v>-1</v>
      </c>
      <c r="K21" s="19">
        <v>-1</v>
      </c>
      <c r="L21" s="19">
        <v>-1</v>
      </c>
      <c r="M21" s="19">
        <v>-1</v>
      </c>
      <c r="N21" s="19">
        <v>-1</v>
      </c>
      <c r="O21" s="19">
        <v>-1</v>
      </c>
      <c r="P21" s="19">
        <v>-1</v>
      </c>
      <c r="Q21" s="19">
        <v>-1</v>
      </c>
      <c r="R21" s="19">
        <v>-1</v>
      </c>
      <c r="S21" s="19">
        <v>-1</v>
      </c>
      <c r="T21" s="19">
        <v>-1</v>
      </c>
      <c r="U21" s="20">
        <v>20</v>
      </c>
      <c r="V21" s="19">
        <v>-1</v>
      </c>
      <c r="X21" t="s">
        <v>73</v>
      </c>
    </row>
    <row r="22" spans="1:24" x14ac:dyDescent="0.2">
      <c r="A22" s="36" t="s">
        <v>44</v>
      </c>
      <c r="B22" s="19">
        <v>-1</v>
      </c>
      <c r="C22" s="19">
        <v>-1</v>
      </c>
      <c r="D22" s="19">
        <v>-1</v>
      </c>
      <c r="E22" s="19">
        <v>-1</v>
      </c>
      <c r="F22" s="19">
        <v>-1</v>
      </c>
      <c r="G22" s="19">
        <v>-1</v>
      </c>
      <c r="H22" s="19">
        <v>-1</v>
      </c>
      <c r="I22" s="19">
        <v>-1</v>
      </c>
      <c r="J22" s="19">
        <v>-1</v>
      </c>
      <c r="K22" s="19">
        <v>-1</v>
      </c>
      <c r="L22" s="19">
        <v>-1</v>
      </c>
      <c r="M22" s="19">
        <v>-1</v>
      </c>
      <c r="N22" s="19">
        <v>-1</v>
      </c>
      <c r="O22" s="19">
        <v>-1</v>
      </c>
      <c r="P22" s="19">
        <v>-1</v>
      </c>
      <c r="Q22" s="19">
        <v>-1</v>
      </c>
      <c r="R22" s="19">
        <v>-1</v>
      </c>
      <c r="S22" s="19">
        <v>-1</v>
      </c>
      <c r="T22" s="19">
        <v>-1</v>
      </c>
      <c r="U22" s="19">
        <v>-1</v>
      </c>
      <c r="V22" s="20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Distance matrix</vt:lpstr>
      <vt:lpstr>Laplacian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O</dc:creator>
  <cp:lastModifiedBy>Arsen 01</cp:lastModifiedBy>
  <dcterms:created xsi:type="dcterms:W3CDTF">2026-01-15T17:36:05Z</dcterms:created>
  <dcterms:modified xsi:type="dcterms:W3CDTF">2026-01-16T16:13:29Z</dcterms:modified>
</cp:coreProperties>
</file>